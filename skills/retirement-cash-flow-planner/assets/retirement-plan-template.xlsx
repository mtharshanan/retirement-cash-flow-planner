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hase Plan" sheetId="3" state="visible" r:id="rId5"/>
    <sheet name="Tax Calculator" sheetId="4" state="visible" r:id="rId6"/>
    <sheet name="Roth Conversion" sheetId="5" state="visible" r:id="rId7"/>
    <sheet name="Net Wort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<sst xmlns="http://schemas.openxmlformats.org/spreadsheetml/2006/main" count="192" uniqueCount="169">
  <si>
    <t xml:space="preserve">PERSONAL RETIREMENT FINANCIAL PLAN</t>
  </si>
  <si>
    <t xml:space="preserve">[Your Name] &amp; [Spouse Name]  |  Retirement Date: [Target Date]</t>
  </si>
  <si>
    <t xml:space="preserve">Prepared [Month Year]  |  For review with your financial planner &amp; tax advisor</t>
  </si>
  <si>
    <t xml:space="preserve">RETIREMENT DATE</t>
  </si>
  <si>
    <t xml:space="preserve">Dec 31, 2027</t>
  </si>
  <si>
    <t xml:space="preserve">TOTAL NET WORTH (all sources)</t>
  </si>
  <si>
    <t xml:space="preserve">COMBINED RETIREMENT ACCOUNTS (401k/403b/IRA)</t>
  </si>
  <si>
    <t xml:space="preserve">CASH SAVINGS</t>
  </si>
  <si>
    <t xml:space="preserve">KEY MILESTONE DATES</t>
  </si>
  <si>
    <t xml:space="preserve">You — born</t>
  </si>
  <si>
    <t xml:space="preserve">[Month/Year]</t>
  </si>
  <si>
    <t xml:space="preserve">Age at retirement</t>
  </si>
  <si>
    <t xml:space="preserve">Spouse — born</t>
  </si>
  <si>
    <t xml:space="preserve">Your 59½ (penalty-free 401k)</t>
  </si>
  <si>
    <t xml:space="preserve">[Date]</t>
  </si>
  <si>
    <t xml:space="preserve">Your Medicare eligibility</t>
  </si>
  <si>
    <t xml:space="preserve">Spouse Medicare</t>
  </si>
  <si>
    <t xml:space="preserve">Spouse Social Security @ 70</t>
  </si>
  <si>
    <t xml:space="preserve">[Year]</t>
  </si>
  <si>
    <t xml:space="preserve">Your Social Security @ 70</t>
  </si>
  <si>
    <t xml:space="preserve">Spouse RMDs begin</t>
  </si>
  <si>
    <t xml:space="preserve">Your RMDs begin</t>
  </si>
  <si>
    <t xml:space="preserve">WORKBOOK GUIDE</t>
  </si>
  <si>
    <t xml:space="preserve">1. Cover</t>
  </si>
  <si>
    <t xml:space="preserve">This page — key facts and milestone dates</t>
  </si>
  <si>
    <t xml:space="preserve">2. Assumptions</t>
  </si>
  <si>
    <t xml:space="preserve">All inputs — update annually (yellow cells)</t>
  </si>
  <si>
    <t xml:space="preserve">3. Phase Plan</t>
  </si>
  <si>
    <t xml:space="preserve">Annual after-tax cash flow across retirement phases</t>
  </si>
  <si>
    <t xml:space="preserve">4. Tax Calculator</t>
  </si>
  <si>
    <t xml:space="preserve">Federal + state bracket calculations by year</t>
  </si>
  <si>
    <t xml:space="preserve">5. Roth Conversion</t>
  </si>
  <si>
    <t xml:space="preserve">Multi-year conversion tracker and strategy</t>
  </si>
  <si>
    <t xml:space="preserve">6. Net Worth</t>
  </si>
  <si>
    <t xml:space="preserve">Wealth trajectory over time</t>
  </si>
  <si>
    <t xml:space="preserve">ASSUMPTIONS &amp; INPUTS — Yellow = update annually | Edit every yellow cell for your own numbers</t>
  </si>
  <si>
    <t xml:space="preserve">  PERSONAL</t>
  </si>
  <si>
    <t xml:space="preserve">  INCOME &amp; DEFERRALS</t>
  </si>
  <si>
    <t xml:space="preserve">  FEDERAL TAX BRACKETS (MFJ, example year)</t>
  </si>
  <si>
    <t xml:space="preserve">Retirement date</t>
  </si>
  <si>
    <t xml:space="preserve">Deferred comp balance (if any)</t>
  </si>
  <si>
    <t xml:space="preserve">10% bracket top</t>
  </si>
  <si>
    <t xml:space="preserve">Your birth month/year</t>
  </si>
  <si>
    <t xml:space="preserve">[MM/YYYY]</t>
  </si>
  <si>
    <t xml:space="preserve">Deferred comp distribution years</t>
  </si>
  <si>
    <t xml:space="preserve">12% bracket top</t>
  </si>
  <si>
    <t xml:space="preserve">Spouse birth month/year</t>
  </si>
  <si>
    <t xml:space="preserve">Plan return rate</t>
  </si>
  <si>
    <t xml:space="preserve">22% bracket top</t>
  </si>
  <si>
    <t xml:space="preserve">Dependent(s) birth month/year</t>
  </si>
  <si>
    <t xml:space="preserve">Est. Year 1 distribution (auto)</t>
  </si>
  <si>
    <t xml:space="preserve">24% bracket top</t>
  </si>
  <si>
    <t xml:space="preserve">Your age at retirement</t>
  </si>
  <si>
    <t xml:space="preserve">  EXPENSES</t>
  </si>
  <si>
    <t xml:space="preserve">32% bracket top</t>
  </si>
  <si>
    <t xml:space="preserve">Spouse age at retirement</t>
  </si>
  <si>
    <t xml:space="preserve">Monthly living expenses (today's dollars)</t>
  </si>
  <si>
    <t xml:space="preserve">35% bracket top</t>
  </si>
  <si>
    <t xml:space="preserve">Your life expectancy (planning age)</t>
  </si>
  <si>
    <t xml:space="preserve">Living expense inflation rate</t>
  </si>
  <si>
    <t xml:space="preserve">37% rate above top bracket</t>
  </si>
  <si>
    <t xml:space="preserve">Spouse life expectancy (planning age)</t>
  </si>
  <si>
    <t xml:space="preserve">Healthcare — employer plan (while working, monthly)</t>
  </si>
  <si>
    <t xml:space="preserve">Standard deduction (MFJ)</t>
  </si>
  <si>
    <t xml:space="preserve">Your Social Security claim age</t>
  </si>
  <si>
    <t xml:space="preserve">Healthcare — retiree/marketplace plan (monthly)</t>
  </si>
  <si>
    <t xml:space="preserve">SS federal taxable portion (max)</t>
  </si>
  <si>
    <t xml:space="preserve">Spouse Social Security claim age</t>
  </si>
  <si>
    <t xml:space="preserve">Healthcare inflation rate</t>
  </si>
  <si>
    <t xml:space="preserve">Your 59½ date</t>
  </si>
  <si>
    <t xml:space="preserve">Healthcare — one spouse only (post other's Medicare)</t>
  </si>
  <si>
    <t xml:space="preserve">  STATE TAX (example — CA MFJ)</t>
  </si>
  <si>
    <t xml:space="preserve">Your Medicare date</t>
  </si>
  <si>
    <t xml:space="preserve">Healthcare — both on Medicare (monthly)</t>
  </si>
  <si>
    <t xml:space="preserve">1% bracket top</t>
  </si>
  <si>
    <t xml:space="preserve">Spouse Medicare date</t>
  </si>
  <si>
    <t xml:space="preserve">2% bracket top</t>
  </si>
  <si>
    <t xml:space="preserve">Spouse SS start year</t>
  </si>
  <si>
    <t xml:space="preserve">  INVESTMENTS &amp; RETIREMENT</t>
  </si>
  <si>
    <t xml:space="preserve">4% bracket top</t>
  </si>
  <si>
    <t xml:space="preserve">Your SS start year</t>
  </si>
  <si>
    <t xml:space="preserve">Your 401(k)/403(b) balance</t>
  </si>
  <si>
    <t xml:space="preserve">6% bracket top</t>
  </si>
  <si>
    <t xml:space="preserve">Spouse RMD start year</t>
  </si>
  <si>
    <t xml:space="preserve">Spouse 401(k)/403(b) balance</t>
  </si>
  <si>
    <t xml:space="preserve">8% bracket top</t>
  </si>
  <si>
    <t xml:space="preserve">Your RMD start year</t>
  </si>
  <si>
    <t xml:space="preserve">HSA balance</t>
  </si>
  <si>
    <t xml:space="preserve">9.3% bracket top</t>
  </si>
  <si>
    <t xml:space="preserve">Dependent(s) off healthcare year</t>
  </si>
  <si>
    <t xml:space="preserve">Cash savings</t>
  </si>
  <si>
    <t xml:space="preserve">10.3%+ above</t>
  </si>
  <si>
    <t xml:space="preserve">401(k) growth rate</t>
  </si>
  <si>
    <t xml:space="preserve">State taxes SS income? (0=no,1=yes)</t>
  </si>
  <si>
    <t xml:space="preserve">  ANNUAL COMPENSATION (final working year)</t>
  </si>
  <si>
    <t xml:space="preserve">Savings return rate</t>
  </si>
  <si>
    <t xml:space="preserve">NIIT rate (federal, high earners)</t>
  </si>
  <si>
    <t xml:space="preserve">Annual base salary</t>
  </si>
  <si>
    <t xml:space="preserve">HSA growth rate</t>
  </si>
  <si>
    <t xml:space="preserve">LT capital gains rate (federal)</t>
  </si>
  <si>
    <t xml:space="preserve">Annual bonus (if any)</t>
  </si>
  <si>
    <t xml:space="preserve">Annual Roth conversion target</t>
  </si>
  <si>
    <t xml:space="preserve">401(k)/403(b) contribution (annual)</t>
  </si>
  <si>
    <t xml:space="preserve">Your SS benefit at 70 (annual)</t>
  </si>
  <si>
    <t xml:space="preserve">HSA contribution (family max)</t>
  </si>
  <si>
    <t xml:space="preserve">Spouse SS benefit at 70 (annual)</t>
  </si>
  <si>
    <t xml:space="preserve">Combined Fed + State marginal tax rate on W-2</t>
  </si>
  <si>
    <t xml:space="preserve">SS COLA rate</t>
  </si>
  <si>
    <t xml:space="preserve">  RENTAL / OTHER INCOME (optional)</t>
  </si>
  <si>
    <t xml:space="preserve">Net rental income/mo (all properties, after mortgage+mgmt)</t>
  </si>
  <si>
    <t xml:space="preserve">Rental income growth rate</t>
  </si>
  <si>
    <t xml:space="preserve">ANNUAL AFTER-TAX CASH FLOW PLAN — Illustrative 10-Year Window (Inflation-Adjusted)</t>
  </si>
  <si>
    <t xml:space="preserve">YEAR</t>
  </si>
  <si>
    <t xml:space="preserve">  GROSS INCOME SOURCES</t>
  </si>
  <si>
    <t xml:space="preserve">Deferred Compensation (gross)</t>
  </si>
  <si>
    <t xml:space="preserve">Rental / Other Income (net)</t>
  </si>
  <si>
    <t xml:space="preserve">Spouse Social Security (COLA-adjusted)</t>
  </si>
  <si>
    <t xml:space="preserve">Your Social Security (COLA-adjusted)</t>
  </si>
  <si>
    <t xml:space="preserve">TOTAL GROSS INCOME</t>
  </si>
  <si>
    <t xml:space="preserve">  EXPENSES (inflation-adjusted)</t>
  </si>
  <si>
    <t xml:space="preserve">Living Expenses</t>
  </si>
  <si>
    <t xml:space="preserve">Healthcare</t>
  </si>
  <si>
    <t xml:space="preserve">TOTAL EXPENSES</t>
  </si>
  <si>
    <t xml:space="preserve">  GAP &amp; FUNDING</t>
  </si>
  <si>
    <t xml:space="preserve">Net Gap Before Withdrawal (income - expenses)</t>
  </si>
  <si>
    <t xml:space="preserve">Est. Tax on Withdrawals (approx. — see Tax Calculator for precision)</t>
  </si>
  <si>
    <t xml:space="preserve">401(k) Gross Withdrawal Needed (grossed up)</t>
  </si>
  <si>
    <t xml:space="preserve">PHASE (edit to match your own milestones)</t>
  </si>
  <si>
    <t xml:space="preserve">Ph1 — Bridge Year</t>
  </si>
  <si>
    <t xml:space="preserve">Ph1</t>
  </si>
  <si>
    <t xml:space="preserve">Ph2 — Stabilizing</t>
  </si>
  <si>
    <t xml:space="preserve">Ph2</t>
  </si>
  <si>
    <t xml:space="preserve">Ph3 — Mortgage-Free</t>
  </si>
  <si>
    <t xml:space="preserve">Ph3</t>
  </si>
  <si>
    <t xml:space="preserve">Ph4 — Pre-SS</t>
  </si>
  <si>
    <t xml:space="preserve">Ph4</t>
  </si>
  <si>
    <t xml:space="preserve">Ph5 — SS Begins</t>
  </si>
  <si>
    <t xml:space="preserve">Ph5</t>
  </si>
  <si>
    <t xml:space="preserve">FEDERAL &amp; STATE TAX CALCULATOR — MFJ (simplified, tiered brackets)</t>
  </si>
  <si>
    <t xml:space="preserve">Year</t>
  </si>
  <si>
    <t xml:space="preserve">TOTAL GROSS INCOME (from Phase Plan)</t>
  </si>
  <si>
    <t xml:space="preserve">Standard Deduction</t>
  </si>
  <si>
    <t xml:space="preserve">TAXABLE INCOME</t>
  </si>
  <si>
    <t xml:space="preserve">Federal Income Tax (tiered brackets, simplified)</t>
  </si>
  <si>
    <t xml:space="preserve">Federal Effective Rate</t>
  </si>
  <si>
    <t xml:space="preserve">State Income Tax (simplified, top-bracket blended)</t>
  </si>
  <si>
    <t xml:space="preserve">NIIT (3.8% on rental + investment income, approx.)</t>
  </si>
  <si>
    <t xml:space="preserve">TOTAL TAX</t>
  </si>
  <si>
    <t xml:space="preserve">Total Effective Rate</t>
  </si>
  <si>
    <t xml:space="preserve">AFTER-TAX INCOME</t>
  </si>
  <si>
    <t xml:space="preserve">ROTH CONVERSION TRACKER — Multi-Year Strategy</t>
  </si>
  <si>
    <t xml:space="preserve">Traditional 401(k)
(start of year)</t>
  </si>
  <si>
    <t xml:space="preserve">Roth Balance
(cumulative)</t>
  </si>
  <si>
    <t xml:space="preserve">Annual Conversion</t>
  </si>
  <si>
    <t xml:space="preserve">Est. Tax on Conversion
(~30%)</t>
  </si>
  <si>
    <t xml:space="preserve">401(k) Withdrawal
(for living expenses)</t>
  </si>
  <si>
    <t xml:space="preserve">Year-End 401(k)</t>
  </si>
  <si>
    <t xml:space="preserve">Strategy Notes</t>
  </si>
  <si>
    <t xml:space="preserve">Prioritize the spouse with the larger balance first; convert into the top of your target bracket each year.</t>
  </si>
  <si>
    <t xml:space="preserve">KEY: The best conversion years are usually the ones with the least other taxable income (e.g. the first year or two after salary ends, before Social Security and RMDs begin). Re-run this tab whenever tax brackets or your balances change.</t>
  </si>
  <si>
    <t xml:space="preserve">NET WORTH PROJECTION (Nominal, illustrative)</t>
  </si>
  <si>
    <t xml:space="preserve">Asset Class</t>
  </si>
  <si>
    <t xml:space="preserve">Your 401(k)/403(b) — Traditional (net of conversions/withdrawals, approx.)</t>
  </si>
  <si>
    <t xml:space="preserve">Spouse 401(k)/403(b) — Traditional (approx.)</t>
  </si>
  <si>
    <t xml:space="preserve">Roth Accounts (converted)</t>
  </si>
  <si>
    <t xml:space="preserve">HSA Account</t>
  </si>
  <si>
    <t xml:space="preserve">Cash Savings</t>
  </si>
  <si>
    <t xml:space="preserve">Real Estate Equity (enter manually or link to a Properties tab)</t>
  </si>
  <si>
    <t xml:space="preserve">TOTAL NET WORTH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</si>
</sst>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8C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1B3A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2E7D8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B5" s="5" t="s">
        <v>3</v>
      </c>
    </row>
    <row r="6" customFormat="false" ht="15" hidden="false" customHeight="true" outlineLevel="0" collapsed="false">
      <c r="B6" s="6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7" t="n">
        <f aca="false">SUM('Net Worth'!B4:B10)</f>
        <v>1970000</v>
      </c>
    </row>
    <row r="11" customFormat="false" ht="15" hidden="false" customHeight="true" outlineLevel="0" collapsed="false">
      <c r="B11" s="5" t="s">
        <v>6</v>
      </c>
    </row>
    <row r="12" customFormat="false" ht="15" hidden="false" customHeight="true" outlineLevel="0" collapsed="false">
      <c r="B12" s="7" t="n">
        <f aca="false">Assumptions!E27+Assumptions!E28</f>
        <v>30000.025</v>
      </c>
    </row>
    <row r="14" customFormat="false" ht="15" hidden="false" customHeight="true" outlineLevel="0" collapsed="false">
      <c r="B14" s="5" t="s">
        <v>7</v>
      </c>
    </row>
    <row r="15" customFormat="false" ht="15" hidden="false" customHeight="true" outlineLevel="0" collapsed="false">
      <c r="B15" s="7" t="n">
        <f aca="false">Assumptions!E30</f>
        <v>0</v>
      </c>
    </row>
    <row r="17" customFormat="false" ht="15" hidden="false" customHeight="true" outlineLevel="0" collapsed="false">
      <c r="B17" s="5" t="s">
        <v>8</v>
      </c>
    </row>
    <row r="18" customFormat="false" ht="15" hidden="false" customHeight="true" outlineLevel="0" collapsed="false">
      <c r="B18" s="8" t="s">
        <v>9</v>
      </c>
      <c r="C18" s="8" t="s">
        <v>10</v>
      </c>
      <c r="D18" s="8" t="s">
        <v>11</v>
      </c>
      <c r="E18" s="1" t="n">
        <f aca="false">Assumptions!B8</f>
        <v>60</v>
      </c>
    </row>
    <row r="19" customFormat="false" ht="15" hidden="false" customHeight="true" outlineLevel="0" collapsed="false">
      <c r="B19" s="8" t="s">
        <v>12</v>
      </c>
      <c r="C19" s="8" t="s">
        <v>10</v>
      </c>
      <c r="D19" s="8" t="s">
        <v>11</v>
      </c>
      <c r="E19" s="1" t="n">
        <f aca="false">Assumptions!B9</f>
        <v>58</v>
      </c>
    </row>
    <row r="20" customFormat="false" ht="15" hidden="false" customHeight="true" outlineLevel="0" collapsed="false">
      <c r="B20" s="8" t="s">
        <v>13</v>
      </c>
      <c r="C20" s="8" t="s">
        <v>14</v>
      </c>
    </row>
    <row r="21" customFormat="false" ht="15" hidden="false" customHeight="true" outlineLevel="0" collapsed="false">
      <c r="B21" s="8" t="s">
        <v>15</v>
      </c>
      <c r="C21" s="8" t="s">
        <v>14</v>
      </c>
      <c r="D21" s="8" t="s">
        <v>16</v>
      </c>
      <c r="E21" s="8" t="s">
        <v>14</v>
      </c>
    </row>
    <row r="22" customFormat="false" ht="15" hidden="false" customHeight="true" outlineLevel="0" collapsed="false">
      <c r="B22" s="8" t="s">
        <v>17</v>
      </c>
      <c r="C22" s="8" t="s">
        <v>18</v>
      </c>
      <c r="D22" s="8" t="s">
        <v>19</v>
      </c>
      <c r="E22" s="8" t="s">
        <v>18</v>
      </c>
    </row>
    <row r="23" customFormat="false" ht="15" hidden="false" customHeight="true" outlineLevel="0" collapsed="false">
      <c r="B23" s="8" t="s">
        <v>20</v>
      </c>
      <c r="C23" s="8" t="s">
        <v>18</v>
      </c>
      <c r="D23" s="8" t="s">
        <v>21</v>
      </c>
      <c r="E23" s="8" t="s">
        <v>18</v>
      </c>
    </row>
    <row r="25" customFormat="false" ht="15" hidden="false" customHeight="true" outlineLevel="0" collapsed="false">
      <c r="B25" s="5" t="s">
        <v>22</v>
      </c>
    </row>
    <row r="26" customFormat="false" ht="15" hidden="false" customHeight="true" outlineLevel="0" collapsed="false">
      <c r="B26" s="9" t="s">
        <v>23</v>
      </c>
      <c r="C26" s="8" t="s">
        <v>24</v>
      </c>
    </row>
    <row r="27" customFormat="false" ht="15" hidden="false" customHeight="true" outlineLevel="0" collapsed="false">
      <c r="B27" s="9" t="s">
        <v>25</v>
      </c>
      <c r="C27" s="8" t="s">
        <v>26</v>
      </c>
    </row>
    <row r="28" customFormat="false" ht="15" hidden="false" customHeight="true" outlineLevel="0" collapsed="false">
      <c r="B28" s="9" t="s">
        <v>27</v>
      </c>
      <c r="C28" s="8" t="s">
        <v>28</v>
      </c>
    </row>
    <row r="29" customFormat="false" ht="15" hidden="false" customHeight="true" outlineLevel="0" collapsed="false">
      <c r="B29" s="9" t="s">
        <v>29</v>
      </c>
      <c r="C29" s="8" t="s">
        <v>30</v>
      </c>
    </row>
    <row r="30" customFormat="false" ht="15" hidden="false" customHeight="true" outlineLevel="0" collapsed="false">
      <c r="B30" s="9" t="s">
        <v>31</v>
      </c>
      <c r="C30" s="8" t="s">
        <v>32</v>
      </c>
    </row>
    <row r="31" customFormat="false" ht="15" hidden="false" customHeight="true" outlineLevel="0" collapsed="false">
      <c r="B31" s="9" t="s">
        <v>33</v>
      </c>
      <c r="C31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3"/>
    <col collapsed="false" customWidth="true" hidden="false" outlineLevel="0" max="7" min="7" style="1" width="28"/>
    <col collapsed="false" customWidth="true" hidden="false" outlineLevel="0" max="8" min="8" style="1" width="14"/>
  </cols>
  <sheetData>
    <row r="1" customFormat="false" ht="15.75" hidden="false" customHeight="true" outlineLevel="0" collapsed="false">
      <c r="A1" s="10" t="s">
        <v>35</v>
      </c>
      <c r="B1" s="10"/>
      <c r="C1" s="10"/>
      <c r="D1" s="10"/>
      <c r="E1" s="10"/>
      <c r="F1" s="10"/>
      <c r="G1" s="10"/>
      <c r="H1" s="10"/>
    </row>
    <row r="3" customFormat="false" ht="15" hidden="false" customHeight="true" outlineLevel="0" collapsed="false">
      <c r="A3" s="5" t="s">
        <v>36</v>
      </c>
      <c r="D3" s="5" t="s">
        <v>37</v>
      </c>
      <c r="G3" s="5" t="s">
        <v>38</v>
      </c>
    </row>
    <row r="4" customFormat="false" ht="15" hidden="false" customHeight="true" outlineLevel="0" collapsed="false">
      <c r="A4" s="8" t="s">
        <v>39</v>
      </c>
      <c r="B4" s="6" t="s">
        <v>4</v>
      </c>
      <c r="D4" s="8" t="s">
        <v>40</v>
      </c>
      <c r="E4" s="6" t="n">
        <v>0</v>
      </c>
      <c r="G4" s="8" t="s">
        <v>41</v>
      </c>
      <c r="H4" s="6" t="n">
        <v>23850</v>
      </c>
    </row>
    <row r="5" customFormat="false" ht="15" hidden="false" customHeight="true" outlineLevel="0" collapsed="false">
      <c r="A5" s="8" t="s">
        <v>42</v>
      </c>
      <c r="B5" s="6" t="s">
        <v>43</v>
      </c>
      <c r="D5" s="8" t="s">
        <v>44</v>
      </c>
      <c r="E5" s="6" t="n">
        <v>0</v>
      </c>
      <c r="G5" s="8" t="s">
        <v>45</v>
      </c>
      <c r="H5" s="6" t="n">
        <v>96950</v>
      </c>
    </row>
    <row r="6" customFormat="false" ht="15" hidden="false" customHeight="true" outlineLevel="0" collapsed="false">
      <c r="A6" s="8" t="s">
        <v>46</v>
      </c>
      <c r="B6" s="6" t="s">
        <v>43</v>
      </c>
      <c r="D6" s="8" t="s">
        <v>47</v>
      </c>
      <c r="E6" s="11" t="n">
        <v>0.06</v>
      </c>
      <c r="G6" s="8" t="s">
        <v>48</v>
      </c>
      <c r="H6" s="6" t="n">
        <v>206700</v>
      </c>
    </row>
    <row r="7" customFormat="false" ht="15" hidden="false" customHeight="true" outlineLevel="0" collapsed="false">
      <c r="A7" s="8" t="s">
        <v>49</v>
      </c>
      <c r="B7" s="6" t="s">
        <v>43</v>
      </c>
      <c r="D7" s="1" t="s">
        <v>50</v>
      </c>
      <c r="E7" s="7" t="n">
        <f aca="false">IFERROR(E4/E5*(1+E6),0)</f>
        <v>0</v>
      </c>
      <c r="G7" s="8" t="s">
        <v>51</v>
      </c>
      <c r="H7" s="6" t="n">
        <v>394600</v>
      </c>
    </row>
    <row r="8" customFormat="false" ht="15" hidden="false" customHeight="true" outlineLevel="0" collapsed="false">
      <c r="A8" s="8" t="s">
        <v>52</v>
      </c>
      <c r="B8" s="6" t="n">
        <v>60</v>
      </c>
      <c r="D8" s="5" t="s">
        <v>53</v>
      </c>
      <c r="G8" s="8" t="s">
        <v>54</v>
      </c>
      <c r="H8" s="6" t="n">
        <v>501050</v>
      </c>
    </row>
    <row r="9" customFormat="false" ht="15" hidden="false" customHeight="true" outlineLevel="0" collapsed="false">
      <c r="A9" s="8" t="s">
        <v>55</v>
      </c>
      <c r="B9" s="6" t="n">
        <v>58</v>
      </c>
      <c r="D9" s="8" t="s">
        <v>56</v>
      </c>
      <c r="E9" s="6" t="n">
        <v>8000</v>
      </c>
      <c r="G9" s="8" t="s">
        <v>57</v>
      </c>
      <c r="H9" s="6" t="n">
        <v>751600</v>
      </c>
    </row>
    <row r="10" customFormat="false" ht="15" hidden="false" customHeight="true" outlineLevel="0" collapsed="false">
      <c r="A10" s="8" t="s">
        <v>58</v>
      </c>
      <c r="B10" s="6" t="n">
        <v>90</v>
      </c>
      <c r="D10" s="8" t="s">
        <v>59</v>
      </c>
      <c r="E10" s="11" t="n">
        <v>0.03</v>
      </c>
      <c r="G10" s="8" t="s">
        <v>60</v>
      </c>
      <c r="H10" s="11" t="n">
        <v>0.37</v>
      </c>
    </row>
    <row r="11" customFormat="false" ht="15" hidden="false" customHeight="true" outlineLevel="0" collapsed="false">
      <c r="A11" s="8" t="s">
        <v>61</v>
      </c>
      <c r="B11" s="6" t="n">
        <v>92</v>
      </c>
      <c r="D11" s="8" t="s">
        <v>62</v>
      </c>
      <c r="E11" s="6" t="n">
        <v>500</v>
      </c>
      <c r="G11" s="8" t="s">
        <v>63</v>
      </c>
      <c r="H11" s="6" t="n">
        <v>31500</v>
      </c>
    </row>
    <row r="12" customFormat="false" ht="15" hidden="false" customHeight="true" outlineLevel="0" collapsed="false">
      <c r="A12" s="8" t="s">
        <v>64</v>
      </c>
      <c r="B12" s="6" t="n">
        <v>70</v>
      </c>
      <c r="D12" s="8" t="s">
        <v>65</v>
      </c>
      <c r="E12" s="6" t="n">
        <v>1800</v>
      </c>
      <c r="G12" s="8" t="s">
        <v>66</v>
      </c>
      <c r="H12" s="11" t="n">
        <v>0.85</v>
      </c>
    </row>
    <row r="13" customFormat="false" ht="15" hidden="false" customHeight="true" outlineLevel="0" collapsed="false">
      <c r="A13" s="8" t="s">
        <v>67</v>
      </c>
      <c r="B13" s="6" t="n">
        <v>70</v>
      </c>
      <c r="D13" s="8" t="s">
        <v>68</v>
      </c>
      <c r="E13" s="11" t="n">
        <v>0.05</v>
      </c>
    </row>
    <row r="14" customFormat="false" ht="15" hidden="false" customHeight="true" outlineLevel="0" collapsed="false">
      <c r="A14" s="8" t="s">
        <v>69</v>
      </c>
      <c r="B14" s="6" t="s">
        <v>10</v>
      </c>
      <c r="D14" s="8" t="s">
        <v>70</v>
      </c>
      <c r="E14" s="6" t="n">
        <v>700</v>
      </c>
      <c r="G14" s="5" t="s">
        <v>71</v>
      </c>
    </row>
    <row r="15" customFormat="false" ht="15" hidden="false" customHeight="true" outlineLevel="0" collapsed="false">
      <c r="A15" s="8" t="s">
        <v>72</v>
      </c>
      <c r="B15" s="6" t="s">
        <v>10</v>
      </c>
      <c r="D15" s="8" t="s">
        <v>73</v>
      </c>
      <c r="E15" s="6" t="n">
        <v>500</v>
      </c>
      <c r="G15" s="8" t="s">
        <v>74</v>
      </c>
      <c r="H15" s="6" t="n">
        <v>21512</v>
      </c>
    </row>
    <row r="16" customFormat="false" ht="15" hidden="false" customHeight="true" outlineLevel="0" collapsed="false">
      <c r="A16" s="8" t="s">
        <v>75</v>
      </c>
      <c r="B16" s="6" t="s">
        <v>10</v>
      </c>
      <c r="G16" s="8" t="s">
        <v>76</v>
      </c>
      <c r="H16" s="6" t="n">
        <v>50998</v>
      </c>
    </row>
    <row r="17" customFormat="false" ht="15" hidden="false" customHeight="true" outlineLevel="0" collapsed="false">
      <c r="A17" s="8" t="s">
        <v>77</v>
      </c>
      <c r="B17" s="6" t="n">
        <v>2035</v>
      </c>
      <c r="D17" s="5" t="s">
        <v>78</v>
      </c>
      <c r="G17" s="8" t="s">
        <v>79</v>
      </c>
      <c r="H17" s="6" t="n">
        <v>80490</v>
      </c>
    </row>
    <row r="18" customFormat="false" ht="15" hidden="false" customHeight="true" outlineLevel="0" collapsed="false">
      <c r="A18" s="8" t="s">
        <v>80</v>
      </c>
      <c r="B18" s="6" t="n">
        <v>2037</v>
      </c>
      <c r="D18" s="8" t="s">
        <v>81</v>
      </c>
      <c r="E18" s="6" t="n">
        <v>1000000</v>
      </c>
      <c r="G18" s="8" t="s">
        <v>82</v>
      </c>
      <c r="H18" s="6" t="n">
        <v>111732</v>
      </c>
    </row>
    <row r="19" customFormat="false" ht="15" hidden="false" customHeight="true" outlineLevel="0" collapsed="false">
      <c r="A19" s="8" t="s">
        <v>83</v>
      </c>
      <c r="B19" s="6" t="n">
        <v>2040</v>
      </c>
      <c r="D19" s="8" t="s">
        <v>84</v>
      </c>
      <c r="E19" s="6" t="n">
        <v>800000</v>
      </c>
      <c r="G19" s="8" t="s">
        <v>85</v>
      </c>
      <c r="H19" s="6" t="n">
        <v>141212</v>
      </c>
    </row>
    <row r="20" customFormat="false" ht="15" hidden="false" customHeight="true" outlineLevel="0" collapsed="false">
      <c r="A20" s="8" t="s">
        <v>86</v>
      </c>
      <c r="B20" s="6" t="n">
        <v>2042</v>
      </c>
      <c r="D20" s="8" t="s">
        <v>87</v>
      </c>
      <c r="E20" s="6" t="n">
        <v>20000</v>
      </c>
      <c r="G20" s="8" t="s">
        <v>88</v>
      </c>
      <c r="H20" s="6" t="n">
        <v>721318</v>
      </c>
    </row>
    <row r="21" customFormat="false" ht="15" hidden="false" customHeight="true" outlineLevel="0" collapsed="false">
      <c r="A21" s="8" t="s">
        <v>89</v>
      </c>
      <c r="B21" s="6" t="n">
        <v>2030</v>
      </c>
      <c r="D21" s="8" t="s">
        <v>90</v>
      </c>
      <c r="E21" s="6" t="n">
        <v>150000</v>
      </c>
      <c r="G21" s="8" t="s">
        <v>91</v>
      </c>
      <c r="H21" s="11" t="n">
        <v>0.103</v>
      </c>
    </row>
    <row r="22" customFormat="false" ht="15" hidden="false" customHeight="true" outlineLevel="0" collapsed="false">
      <c r="D22" s="8" t="s">
        <v>92</v>
      </c>
      <c r="E22" s="11" t="n">
        <v>0.06</v>
      </c>
      <c r="G22" s="8" t="s">
        <v>93</v>
      </c>
      <c r="H22" s="6" t="n">
        <v>0</v>
      </c>
    </row>
    <row r="23" customFormat="false" ht="15" hidden="false" customHeight="true" outlineLevel="0" collapsed="false">
      <c r="A23" s="5" t="s">
        <v>94</v>
      </c>
      <c r="D23" s="8" t="s">
        <v>95</v>
      </c>
      <c r="E23" s="11" t="n">
        <v>0.04</v>
      </c>
      <c r="G23" s="8" t="s">
        <v>96</v>
      </c>
      <c r="H23" s="11" t="n">
        <v>0.038</v>
      </c>
    </row>
    <row r="24" customFormat="false" ht="15" hidden="false" customHeight="true" outlineLevel="0" collapsed="false">
      <c r="A24" s="8" t="s">
        <v>97</v>
      </c>
      <c r="B24" s="6" t="n">
        <v>200000</v>
      </c>
      <c r="D24" s="8" t="s">
        <v>98</v>
      </c>
      <c r="E24" s="11" t="n">
        <v>0.06</v>
      </c>
      <c r="G24" s="8" t="s">
        <v>99</v>
      </c>
      <c r="H24" s="11" t="n">
        <v>0.15</v>
      </c>
    </row>
    <row r="25" customFormat="false" ht="15" hidden="false" customHeight="true" outlineLevel="0" collapsed="false">
      <c r="A25" s="8" t="s">
        <v>100</v>
      </c>
      <c r="B25" s="6" t="n">
        <v>30000</v>
      </c>
      <c r="D25" s="8" t="s">
        <v>101</v>
      </c>
      <c r="E25" s="6" t="n">
        <v>100000</v>
      </c>
    </row>
    <row r="26" customFormat="false" ht="15" hidden="false" customHeight="true" outlineLevel="0" collapsed="false">
      <c r="A26" s="8" t="s">
        <v>102</v>
      </c>
      <c r="B26" s="6" t="n">
        <v>23000</v>
      </c>
      <c r="D26" s="8" t="s">
        <v>103</v>
      </c>
      <c r="E26" s="6" t="n">
        <v>42000</v>
      </c>
    </row>
    <row r="27" customFormat="false" ht="15" hidden="false" customHeight="true" outlineLevel="0" collapsed="false">
      <c r="A27" s="8" t="s">
        <v>104</v>
      </c>
      <c r="B27" s="6" t="n">
        <v>8550</v>
      </c>
      <c r="D27" s="8" t="s">
        <v>105</v>
      </c>
      <c r="E27" s="6" t="n">
        <v>30000</v>
      </c>
    </row>
    <row r="28" customFormat="false" ht="15" hidden="false" customHeight="true" outlineLevel="0" collapsed="false">
      <c r="A28" s="8" t="s">
        <v>106</v>
      </c>
      <c r="B28" s="11" t="n">
        <v>0.35</v>
      </c>
      <c r="D28" s="8" t="s">
        <v>107</v>
      </c>
      <c r="E28" s="11" t="n">
        <v>0.025</v>
      </c>
    </row>
    <row r="30" customFormat="false" ht="15" hidden="false" customHeight="true" outlineLevel="0" collapsed="false">
      <c r="A30" s="5" t="s">
        <v>108</v>
      </c>
    </row>
    <row r="31" customFormat="false" ht="15" hidden="false" customHeight="true" outlineLevel="0" collapsed="false">
      <c r="A31" s="8" t="s">
        <v>109</v>
      </c>
      <c r="B31" s="6" t="n">
        <v>3000</v>
      </c>
    </row>
    <row r="32" customFormat="false" ht="15" hidden="false" customHeight="true" outlineLevel="0" collapsed="false">
      <c r="A32" s="8" t="s">
        <v>110</v>
      </c>
      <c r="B32" s="11" t="n">
        <v>0.03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11" min="2" style="1" width="13"/>
  </cols>
  <sheetData>
    <row r="1" customFormat="false" ht="15.75" hidden="false" customHeight="true" outlineLevel="0" collapsed="false">
      <c r="A1" s="10" t="s">
        <v>111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5" hidden="false" customHeight="true" outlineLevel="0" collapsed="false">
      <c r="A2" s="1" t="s">
        <v>112</v>
      </c>
      <c r="B2" s="9" t="n">
        <v>2027</v>
      </c>
      <c r="C2" s="9" t="n">
        <v>2028</v>
      </c>
      <c r="D2" s="9" t="n">
        <v>2029</v>
      </c>
      <c r="E2" s="9" t="n">
        <v>2030</v>
      </c>
      <c r="F2" s="9" t="n">
        <v>2031</v>
      </c>
      <c r="G2" s="9" t="n">
        <v>2032</v>
      </c>
      <c r="H2" s="9" t="n">
        <v>2033</v>
      </c>
      <c r="I2" s="9" t="n">
        <v>2034</v>
      </c>
      <c r="J2" s="9" t="n">
        <v>2035</v>
      </c>
      <c r="K2" s="9" t="n">
        <v>2036</v>
      </c>
    </row>
    <row r="4" customFormat="false" ht="15" hidden="false" customHeight="true" outlineLevel="0" collapsed="false">
      <c r="A4" s="12" t="s">
        <v>113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customFormat="false" ht="15" hidden="false" customHeight="true" outlineLevel="0" collapsed="false">
      <c r="A5" s="1" t="s">
        <v>114</v>
      </c>
      <c r="B5" s="7" t="n">
        <f aca="false">IF(0&lt;Assumptions!$E$5,Assumptions!$E$7*(1+Assumptions!$E$6)^0,0)</f>
        <v>0</v>
      </c>
      <c r="C5" s="7" t="n">
        <f aca="false">IF(1&lt;Assumptions!$E$5,Assumptions!$E$7*(1+Assumptions!$E$6)^1,0)</f>
        <v>0</v>
      </c>
      <c r="D5" s="7" t="n">
        <f aca="false">IF(2&lt;Assumptions!$E$5,Assumptions!$E$7*(1+Assumptions!$E$6)^2,0)</f>
        <v>0</v>
      </c>
      <c r="E5" s="7" t="n">
        <f aca="false">IF(3&lt;Assumptions!$E$5,Assumptions!$E$7*(1+Assumptions!$E$6)^3,0)</f>
        <v>0</v>
      </c>
      <c r="F5" s="7" t="n">
        <f aca="false">IF(4&lt;Assumptions!$E$5,Assumptions!$E$7*(1+Assumptions!$E$6)^4,0)</f>
        <v>0</v>
      </c>
      <c r="G5" s="7" t="n">
        <f aca="false">IF(5&lt;Assumptions!$E$5,Assumptions!$E$7*(1+Assumptions!$E$6)^5,0)</f>
        <v>0</v>
      </c>
      <c r="H5" s="7" t="n">
        <f aca="false">IF(6&lt;Assumptions!$E$5,Assumptions!$E$7*(1+Assumptions!$E$6)^6,0)</f>
        <v>0</v>
      </c>
      <c r="I5" s="7" t="n">
        <f aca="false">IF(7&lt;Assumptions!$E$5,Assumptions!$E$7*(1+Assumptions!$E$6)^7,0)</f>
        <v>0</v>
      </c>
      <c r="J5" s="7" t="n">
        <f aca="false">IF(8&lt;Assumptions!$E$5,Assumptions!$E$7*(1+Assumptions!$E$6)^8,0)</f>
        <v>0</v>
      </c>
      <c r="K5" s="7" t="n">
        <f aca="false">IF(9&lt;Assumptions!$E$5,Assumptions!$E$7*(1+Assumptions!$E$6)^9,0)</f>
        <v>0</v>
      </c>
    </row>
    <row r="6" customFormat="false" ht="15" hidden="false" customHeight="true" outlineLevel="0" collapsed="false">
      <c r="A6" s="1" t="s">
        <v>115</v>
      </c>
      <c r="B6" s="7" t="n">
        <f aca="false">Assumptions!$B$31*12*(1+Assumptions!$B$32)^0</f>
        <v>36000</v>
      </c>
      <c r="C6" s="7" t="n">
        <f aca="false">Assumptions!$B$31*12*(1+Assumptions!$B$32)^1</f>
        <v>37080</v>
      </c>
      <c r="D6" s="7" t="n">
        <f aca="false">Assumptions!$B$31*12*(1+Assumptions!$B$32)^2</f>
        <v>38192.4</v>
      </c>
      <c r="E6" s="7" t="n">
        <f aca="false">Assumptions!$B$31*12*(1+Assumptions!$B$32)^3</f>
        <v>39338.172</v>
      </c>
      <c r="F6" s="7" t="n">
        <f aca="false">Assumptions!$B$31*12*(1+Assumptions!$B$32)^4</f>
        <v>40518.31716</v>
      </c>
      <c r="G6" s="7" t="n">
        <f aca="false">Assumptions!$B$31*12*(1+Assumptions!$B$32)^5</f>
        <v>41733.8666748</v>
      </c>
      <c r="H6" s="7" t="n">
        <f aca="false">Assumptions!$B$31*12*(1+Assumptions!$B$32)^6</f>
        <v>42985.882675044</v>
      </c>
      <c r="I6" s="7" t="n">
        <f aca="false">Assumptions!$B$31*12*(1+Assumptions!$B$32)^7</f>
        <v>44275.4591552953</v>
      </c>
      <c r="J6" s="7" t="n">
        <f aca="false">Assumptions!$B$31*12*(1+Assumptions!$B$32)^8</f>
        <v>45603.7229299542</v>
      </c>
      <c r="K6" s="7" t="n">
        <f aca="false">Assumptions!$B$31*12*(1+Assumptions!$B$32)^9</f>
        <v>46971.8346178528</v>
      </c>
    </row>
    <row r="7" customFormat="false" ht="15" hidden="false" customHeight="true" outlineLevel="0" collapsed="false">
      <c r="A7" s="1" t="s">
        <v>116</v>
      </c>
      <c r="B7" s="13" t="n">
        <f aca="false">IF(B$2&gt;=Assumptions!$B$17,Assumptions!$E$27*(1+Assumptions!$E$28)^MAX(0,B$2-Assumptions!$B$17),0)</f>
        <v>0</v>
      </c>
      <c r="C7" s="13" t="n">
        <f aca="false">IF(C$2&gt;=Assumptions!$B$17,Assumptions!$E$27*(1+Assumptions!$E$28)^MAX(0,C$2-Assumptions!$B$17),0)</f>
        <v>0</v>
      </c>
      <c r="D7" s="13" t="n">
        <f aca="false">IF(D$2&gt;=Assumptions!$B$17,Assumptions!$E$27*(1+Assumptions!$E$28)^MAX(0,D$2-Assumptions!$B$17),0)</f>
        <v>0</v>
      </c>
      <c r="E7" s="13" t="n">
        <f aca="false">IF(E$2&gt;=Assumptions!$B$17,Assumptions!$E$27*(1+Assumptions!$E$28)^MAX(0,E$2-Assumptions!$B$17),0)</f>
        <v>0</v>
      </c>
      <c r="F7" s="13" t="n">
        <f aca="false">IF(F$2&gt;=Assumptions!$B$17,Assumptions!$E$27*(1+Assumptions!$E$28)^MAX(0,F$2-Assumptions!$B$17),0)</f>
        <v>0</v>
      </c>
      <c r="G7" s="13" t="n">
        <f aca="false">IF(G$2&gt;=Assumptions!$B$17,Assumptions!$E$27*(1+Assumptions!$E$28)^MAX(0,G$2-Assumptions!$B$17),0)</f>
        <v>0</v>
      </c>
      <c r="H7" s="13" t="n">
        <f aca="false">IF(H$2&gt;=Assumptions!$B$17,Assumptions!$E$27*(1+Assumptions!$E$28)^MAX(0,H$2-Assumptions!$B$17),0)</f>
        <v>0</v>
      </c>
      <c r="I7" s="13" t="n">
        <f aca="false">IF(I$2&gt;=Assumptions!$B$17,Assumptions!$E$27*(1+Assumptions!$E$28)^MAX(0,I$2-Assumptions!$B$17),0)</f>
        <v>0</v>
      </c>
      <c r="J7" s="13" t="n">
        <f aca="false">IF(J$2&gt;=Assumptions!$B$17,Assumptions!$E$27*(1+Assumptions!$E$28)^MAX(0,J$2-Assumptions!$B$17),0)</f>
        <v>30000</v>
      </c>
      <c r="K7" s="13" t="n">
        <f aca="false">IF(K$2&gt;=Assumptions!$B$17,Assumptions!$E$27*(1+Assumptions!$E$28)^MAX(0,K$2-Assumptions!$B$17),0)</f>
        <v>30750</v>
      </c>
    </row>
    <row r="8" customFormat="false" ht="15" hidden="false" customHeight="true" outlineLevel="0" collapsed="false">
      <c r="A8" s="1" t="s">
        <v>117</v>
      </c>
      <c r="B8" s="13" t="n">
        <f aca="false">IF(B$2&gt;=Assumptions!$B$18,Assumptions!$E$26*(1+Assumptions!$E$28)^MAX(0,B$2-Assumptions!$B$18),0)</f>
        <v>0</v>
      </c>
      <c r="C8" s="13" t="n">
        <f aca="false">IF(C$2&gt;=Assumptions!$B$18,Assumptions!$E$26*(1+Assumptions!$E$28)^MAX(0,C$2-Assumptions!$B$18),0)</f>
        <v>0</v>
      </c>
      <c r="D8" s="13" t="n">
        <f aca="false">IF(D$2&gt;=Assumptions!$B$18,Assumptions!$E$26*(1+Assumptions!$E$28)^MAX(0,D$2-Assumptions!$B$18),0)</f>
        <v>0</v>
      </c>
      <c r="E8" s="13" t="n">
        <f aca="false">IF(E$2&gt;=Assumptions!$B$18,Assumptions!$E$26*(1+Assumptions!$E$28)^MAX(0,E$2-Assumptions!$B$18),0)</f>
        <v>0</v>
      </c>
      <c r="F8" s="13" t="n">
        <f aca="false">IF(F$2&gt;=Assumptions!$B$18,Assumptions!$E$26*(1+Assumptions!$E$28)^MAX(0,F$2-Assumptions!$B$18),0)</f>
        <v>0</v>
      </c>
      <c r="G8" s="13" t="n">
        <f aca="false">IF(G$2&gt;=Assumptions!$B$18,Assumptions!$E$26*(1+Assumptions!$E$28)^MAX(0,G$2-Assumptions!$B$18),0)</f>
        <v>0</v>
      </c>
      <c r="H8" s="13" t="n">
        <f aca="false">IF(H$2&gt;=Assumptions!$B$18,Assumptions!$E$26*(1+Assumptions!$E$28)^MAX(0,H$2-Assumptions!$B$18),0)</f>
        <v>0</v>
      </c>
      <c r="I8" s="13" t="n">
        <f aca="false">IF(I$2&gt;=Assumptions!$B$18,Assumptions!$E$26*(1+Assumptions!$E$28)^MAX(0,I$2-Assumptions!$B$18),0)</f>
        <v>0</v>
      </c>
      <c r="J8" s="13" t="n">
        <f aca="false">IF(J$2&gt;=Assumptions!$B$18,Assumptions!$E$26*(1+Assumptions!$E$28)^MAX(0,J$2-Assumptions!$B$18),0)</f>
        <v>0</v>
      </c>
      <c r="K8" s="13" t="n">
        <f aca="false">IF(K$2&gt;=Assumptions!$B$18,Assumptions!$E$26*(1+Assumptions!$E$28)^MAX(0,K$2-Assumptions!$B$18),0)</f>
        <v>0</v>
      </c>
    </row>
    <row r="9" customFormat="false" ht="15" hidden="false" customHeight="true" outlineLevel="0" collapsed="false">
      <c r="A9" s="9" t="s">
        <v>118</v>
      </c>
      <c r="B9" s="14" t="n">
        <f aca="false">SUM(B5:B8)</f>
        <v>36000</v>
      </c>
      <c r="C9" s="14" t="n">
        <f aca="false">SUM(C5:C8)</f>
        <v>37080</v>
      </c>
      <c r="D9" s="14" t="n">
        <f aca="false">SUM(D5:D8)</f>
        <v>38192.4</v>
      </c>
      <c r="E9" s="14" t="n">
        <f aca="false">SUM(E5:E8)</f>
        <v>39338.172</v>
      </c>
      <c r="F9" s="14" t="n">
        <f aca="false">SUM(F5:F8)</f>
        <v>40518.31716</v>
      </c>
      <c r="G9" s="14" t="n">
        <f aca="false">SUM(G5:G8)</f>
        <v>41733.8666748</v>
      </c>
      <c r="H9" s="14" t="n">
        <f aca="false">SUM(H5:H8)</f>
        <v>42985.882675044</v>
      </c>
      <c r="I9" s="14" t="n">
        <f aca="false">SUM(I5:I8)</f>
        <v>44275.4591552953</v>
      </c>
      <c r="J9" s="14" t="n">
        <f aca="false">SUM(J5:J8)</f>
        <v>75603.7229299542</v>
      </c>
      <c r="K9" s="14" t="n">
        <f aca="false">SUM(K5:K8)</f>
        <v>77721.8346178528</v>
      </c>
    </row>
    <row r="11" customFormat="false" ht="15" hidden="false" customHeight="true" outlineLevel="0" collapsed="false">
      <c r="A11" s="12" t="s">
        <v>119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customFormat="false" ht="15" hidden="false" customHeight="true" outlineLevel="0" collapsed="false">
      <c r="A12" s="1" t="s">
        <v>120</v>
      </c>
      <c r="B12" s="7" t="n">
        <f aca="false">-Assumptions!$E$9*12*(1+Assumptions!$E$10)^0</f>
        <v>-96000</v>
      </c>
      <c r="C12" s="7" t="n">
        <f aca="false">-Assumptions!$E$9*12*(1+Assumptions!$E$10)^1</f>
        <v>-98880</v>
      </c>
      <c r="D12" s="7" t="n">
        <f aca="false">-Assumptions!$E$9*12*(1+Assumptions!$E$10)^2</f>
        <v>-101846.4</v>
      </c>
      <c r="E12" s="7" t="n">
        <f aca="false">-Assumptions!$E$9*12*(1+Assumptions!$E$10)^3</f>
        <v>-104901.792</v>
      </c>
      <c r="F12" s="7" t="n">
        <f aca="false">-Assumptions!$E$9*12*(1+Assumptions!$E$10)^4</f>
        <v>-108048.84576</v>
      </c>
      <c r="G12" s="7" t="n">
        <f aca="false">-Assumptions!$E$9*12*(1+Assumptions!$E$10)^5</f>
        <v>-111290.3111328</v>
      </c>
      <c r="H12" s="7" t="n">
        <f aca="false">-Assumptions!$E$9*12*(1+Assumptions!$E$10)^6</f>
        <v>-114629.020466784</v>
      </c>
      <c r="I12" s="7" t="n">
        <f aca="false">-Assumptions!$E$9*12*(1+Assumptions!$E$10)^7</f>
        <v>-118067.891080788</v>
      </c>
      <c r="J12" s="7" t="n">
        <f aca="false">-Assumptions!$E$9*12*(1+Assumptions!$E$10)^8</f>
        <v>-121609.927813211</v>
      </c>
      <c r="K12" s="7" t="n">
        <f aca="false">-Assumptions!$E$9*12*(1+Assumptions!$E$10)^9</f>
        <v>-125258.225647608</v>
      </c>
    </row>
    <row r="13" customFormat="false" ht="15" hidden="false" customHeight="true" outlineLevel="0" collapsed="false">
      <c r="A13" s="1" t="s">
        <v>121</v>
      </c>
      <c r="B13" s="7" t="n">
        <f aca="false">-Assumptions!$E$12*12*(1+Assumptions!$E$13)^0</f>
        <v>-21600</v>
      </c>
      <c r="C13" s="7" t="n">
        <f aca="false">-Assumptions!$E$12*12*(1+Assumptions!$E$13)^1</f>
        <v>-22680</v>
      </c>
      <c r="D13" s="7" t="n">
        <f aca="false">-Assumptions!$E$12*12*(1+Assumptions!$E$13)^2</f>
        <v>-23814</v>
      </c>
      <c r="E13" s="7" t="n">
        <f aca="false">-Assumptions!$E$12*12*(1+Assumptions!$E$13)^3</f>
        <v>-25004.7</v>
      </c>
      <c r="F13" s="7" t="n">
        <f aca="false">-Assumptions!$E$12*12*(1+Assumptions!$E$13)^4</f>
        <v>-26254.935</v>
      </c>
      <c r="G13" s="7" t="n">
        <f aca="false">-Assumptions!$E$12*12*(1+Assumptions!$E$13)^5</f>
        <v>-27567.68175</v>
      </c>
      <c r="H13" s="7" t="n">
        <f aca="false">-Assumptions!$E$12*12*(1+Assumptions!$E$13)^6</f>
        <v>-28946.0658375</v>
      </c>
      <c r="I13" s="7" t="n">
        <f aca="false">-Assumptions!$E$12*12*(1+Assumptions!$E$13)^7</f>
        <v>-30393.369129375</v>
      </c>
      <c r="J13" s="7" t="n">
        <f aca="false">-Assumptions!$E$12*12*(1+Assumptions!$E$13)^8</f>
        <v>-31913.0375858438</v>
      </c>
      <c r="K13" s="7" t="n">
        <f aca="false">-Assumptions!$E$12*12*(1+Assumptions!$E$13)^9</f>
        <v>-33508.689465136</v>
      </c>
    </row>
    <row r="14" customFormat="false" ht="15" hidden="false" customHeight="true" outlineLevel="0" collapsed="false">
      <c r="A14" s="9" t="s">
        <v>122</v>
      </c>
      <c r="B14" s="14" t="n">
        <f aca="false">SUM(B12:B13)</f>
        <v>-117600</v>
      </c>
      <c r="C14" s="14" t="n">
        <f aca="false">SUM(C12:C13)</f>
        <v>-121560</v>
      </c>
      <c r="D14" s="14" t="n">
        <f aca="false">SUM(D12:D13)</f>
        <v>-125660.4</v>
      </c>
      <c r="E14" s="14" t="n">
        <f aca="false">SUM(E12:E13)</f>
        <v>-129906.492</v>
      </c>
      <c r="F14" s="14" t="n">
        <f aca="false">SUM(F12:F13)</f>
        <v>-134303.78076</v>
      </c>
      <c r="G14" s="14" t="n">
        <f aca="false">SUM(G12:G13)</f>
        <v>-138857.9928828</v>
      </c>
      <c r="H14" s="14" t="n">
        <f aca="false">SUM(H12:H13)</f>
        <v>-143575.086304284</v>
      </c>
      <c r="I14" s="14" t="n">
        <f aca="false">SUM(I12:I13)</f>
        <v>-148461.260210163</v>
      </c>
      <c r="J14" s="14" t="n">
        <f aca="false">SUM(J12:J13)</f>
        <v>-153522.965399055</v>
      </c>
      <c r="K14" s="14" t="n">
        <f aca="false">SUM(K12:K13)</f>
        <v>-158766.915112743</v>
      </c>
    </row>
    <row r="16" customFormat="false" ht="15" hidden="false" customHeight="true" outlineLevel="0" collapsed="false">
      <c r="A16" s="12" t="s">
        <v>123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" hidden="false" customHeight="true" outlineLevel="0" collapsed="false">
      <c r="A17" s="1" t="s">
        <v>124</v>
      </c>
      <c r="B17" s="7" t="n">
        <f aca="false">B9+B14</f>
        <v>-81600</v>
      </c>
      <c r="C17" s="7" t="n">
        <f aca="false">C9+C14</f>
        <v>-84480</v>
      </c>
      <c r="D17" s="7" t="n">
        <f aca="false">D9+D14</f>
        <v>-87468</v>
      </c>
      <c r="E17" s="7" t="n">
        <f aca="false">E9+E14</f>
        <v>-90568.32</v>
      </c>
      <c r="F17" s="7" t="n">
        <f aca="false">F9+F14</f>
        <v>-93785.4636</v>
      </c>
      <c r="G17" s="7" t="n">
        <f aca="false">G9+G14</f>
        <v>-97124.126208</v>
      </c>
      <c r="H17" s="7" t="n">
        <f aca="false">H9+H14</f>
        <v>-100589.20362924</v>
      </c>
      <c r="I17" s="7" t="n">
        <f aca="false">I9+I14</f>
        <v>-104185.801054867</v>
      </c>
      <c r="J17" s="7" t="n">
        <f aca="false">J9+J14</f>
        <v>-77919.2424691008</v>
      </c>
      <c r="K17" s="7" t="n">
        <f aca="false">K9+K14</f>
        <v>-81045.0804948906</v>
      </c>
    </row>
    <row r="18" customFormat="false" ht="15" hidden="false" customHeight="true" outlineLevel="0" collapsed="false">
      <c r="A18" s="1" t="s">
        <v>125</v>
      </c>
      <c r="B18" s="7" t="n">
        <f aca="false">-MAX(0,-B17)*0.28</f>
        <v>-22848</v>
      </c>
      <c r="C18" s="7" t="n">
        <f aca="false">-MAX(0,-C17)*0.28</f>
        <v>-23654.4</v>
      </c>
      <c r="D18" s="7" t="n">
        <f aca="false">-MAX(0,-D17)*0.28</f>
        <v>-24491.04</v>
      </c>
      <c r="E18" s="7" t="n">
        <f aca="false">-MAX(0,-E17)*0.28</f>
        <v>-25359.1296</v>
      </c>
      <c r="F18" s="7" t="n">
        <f aca="false">-MAX(0,-F17)*0.28</f>
        <v>-26259.929808</v>
      </c>
      <c r="G18" s="7" t="n">
        <f aca="false">-MAX(0,-G17)*0.28</f>
        <v>-27194.75533824</v>
      </c>
      <c r="H18" s="7" t="n">
        <f aca="false">-MAX(0,-H17)*0.28</f>
        <v>-28164.9770161872</v>
      </c>
      <c r="I18" s="7" t="n">
        <f aca="false">-MAX(0,-I17)*0.28</f>
        <v>-29172.0242953628</v>
      </c>
      <c r="J18" s="7" t="n">
        <f aca="false">-MAX(0,-J17)*0.28</f>
        <v>-21817.3878913482</v>
      </c>
      <c r="K18" s="7" t="n">
        <f aca="false">-MAX(0,-K17)*0.28</f>
        <v>-22692.6225385694</v>
      </c>
    </row>
    <row r="19" customFormat="false" ht="15" hidden="false" customHeight="true" outlineLevel="0" collapsed="false">
      <c r="A19" s="1" t="s">
        <v>126</v>
      </c>
      <c r="B19" s="7" t="n">
        <f aca="false">MAX(0,-B17-B18)</f>
        <v>104448</v>
      </c>
      <c r="C19" s="7" t="n">
        <f aca="false">MAX(0,-C17-C18)</f>
        <v>108134.4</v>
      </c>
      <c r="D19" s="7" t="n">
        <f aca="false">MAX(0,-D17-D18)</f>
        <v>111959.04</v>
      </c>
      <c r="E19" s="7" t="n">
        <f aca="false">MAX(0,-E17-E18)</f>
        <v>115927.4496</v>
      </c>
      <c r="F19" s="7" t="n">
        <f aca="false">MAX(0,-F17-F18)</f>
        <v>120045.393408</v>
      </c>
      <c r="G19" s="7" t="n">
        <f aca="false">MAX(0,-G17-G18)</f>
        <v>124318.88154624</v>
      </c>
      <c r="H19" s="7" t="n">
        <f aca="false">MAX(0,-H17-H18)</f>
        <v>128754.180645427</v>
      </c>
      <c r="I19" s="7" t="n">
        <f aca="false">MAX(0,-I17-I18)</f>
        <v>133357.82535023</v>
      </c>
      <c r="J19" s="7" t="n">
        <f aca="false">MAX(0,-J17-J18)</f>
        <v>99736.630360449</v>
      </c>
      <c r="K19" s="7" t="n">
        <f aca="false">MAX(0,-K17-K18)</f>
        <v>103737.70303346</v>
      </c>
    </row>
    <row r="21" customFormat="false" ht="15" hidden="false" customHeight="true" outlineLevel="0" collapsed="false">
      <c r="A21" s="1" t="s">
        <v>127</v>
      </c>
      <c r="B21" s="1" t="s">
        <v>128</v>
      </c>
      <c r="C21" s="1" t="s">
        <v>129</v>
      </c>
      <c r="D21" s="1" t="s">
        <v>130</v>
      </c>
      <c r="E21" s="1" t="s">
        <v>131</v>
      </c>
      <c r="F21" s="1" t="s">
        <v>132</v>
      </c>
      <c r="G21" s="1" t="s">
        <v>133</v>
      </c>
      <c r="H21" s="1" t="s">
        <v>134</v>
      </c>
      <c r="I21" s="1" t="s">
        <v>135</v>
      </c>
      <c r="J21" s="1" t="s">
        <v>136</v>
      </c>
      <c r="K21" s="1" t="s">
        <v>137</v>
      </c>
    </row>
  </sheetData>
  <mergeCells count="4">
    <mergeCell ref="A1:K1"/>
    <mergeCell ref="A4:K4"/>
    <mergeCell ref="A11:K11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1" min="2" style="1" width="13"/>
  </cols>
  <sheetData>
    <row r="1" customFormat="false" ht="15.75" hidden="false" customHeight="true" outlineLevel="0" collapsed="false">
      <c r="A1" s="10" t="s">
        <v>138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5" hidden="false" customHeight="true" outlineLevel="0" collapsed="false">
      <c r="A2" s="1" t="s">
        <v>139</v>
      </c>
      <c r="B2" s="1" t="n">
        <v>2027</v>
      </c>
      <c r="C2" s="1" t="n">
        <v>2028</v>
      </c>
      <c r="D2" s="1" t="n">
        <v>2029</v>
      </c>
      <c r="E2" s="1" t="n">
        <v>2030</v>
      </c>
      <c r="F2" s="1" t="n">
        <v>2031</v>
      </c>
      <c r="G2" s="1" t="n">
        <v>2032</v>
      </c>
      <c r="H2" s="1" t="n">
        <v>2033</v>
      </c>
      <c r="I2" s="1" t="n">
        <v>2034</v>
      </c>
      <c r="J2" s="1" t="n">
        <v>2035</v>
      </c>
      <c r="K2" s="1" t="n">
        <v>2036</v>
      </c>
    </row>
    <row r="4" customFormat="false" ht="15" hidden="false" customHeight="true" outlineLevel="0" collapsed="false">
      <c r="A4" s="1" t="s">
        <v>140</v>
      </c>
      <c r="B4" s="7" t="n">
        <f aca="false">'Phase Plan'!B9+'Phase Plan'!B19</f>
        <v>140448</v>
      </c>
      <c r="C4" s="7" t="n">
        <f aca="false">'Phase Plan'!C9+'Phase Plan'!C19</f>
        <v>145214.4</v>
      </c>
      <c r="D4" s="7" t="n">
        <f aca="false">'Phase Plan'!D9+'Phase Plan'!D19</f>
        <v>150151.44</v>
      </c>
      <c r="E4" s="7" t="n">
        <f aca="false">'Phase Plan'!E9+'Phase Plan'!E19</f>
        <v>155265.6216</v>
      </c>
      <c r="F4" s="7" t="n">
        <f aca="false">'Phase Plan'!F9+'Phase Plan'!F19</f>
        <v>160563.710568</v>
      </c>
      <c r="G4" s="7" t="n">
        <f aca="false">'Phase Plan'!G9+'Phase Plan'!G19</f>
        <v>166052.74822104</v>
      </c>
      <c r="H4" s="7" t="n">
        <f aca="false">'Phase Plan'!H9+'Phase Plan'!H19</f>
        <v>171740.063320471</v>
      </c>
      <c r="I4" s="7" t="n">
        <f aca="false">'Phase Plan'!I9+'Phase Plan'!I19</f>
        <v>177633.284505525</v>
      </c>
      <c r="J4" s="7" t="n">
        <f aca="false">'Phase Plan'!J9+'Phase Plan'!J19</f>
        <v>175340.353290403</v>
      </c>
      <c r="K4" s="7" t="n">
        <f aca="false">'Phase Plan'!K9+'Phase Plan'!K19</f>
        <v>181459.537651313</v>
      </c>
    </row>
    <row r="5" customFormat="false" ht="15" hidden="false" customHeight="true" outlineLevel="0" collapsed="false">
      <c r="A5" s="1" t="s">
        <v>141</v>
      </c>
      <c r="B5" s="7" t="n">
        <f aca="false">-Assumptions!$H$11</f>
        <v>-31500</v>
      </c>
      <c r="C5" s="7" t="n">
        <f aca="false">-Assumptions!$H$11</f>
        <v>-31500</v>
      </c>
      <c r="D5" s="7" t="n">
        <f aca="false">-Assumptions!$H$11</f>
        <v>-31500</v>
      </c>
      <c r="E5" s="7" t="n">
        <f aca="false">-Assumptions!$H$11</f>
        <v>-31500</v>
      </c>
      <c r="F5" s="7" t="n">
        <f aca="false">-Assumptions!$H$11</f>
        <v>-31500</v>
      </c>
      <c r="G5" s="7" t="n">
        <f aca="false">-Assumptions!$H$11</f>
        <v>-31500</v>
      </c>
      <c r="H5" s="7" t="n">
        <f aca="false">-Assumptions!$H$11</f>
        <v>-31500</v>
      </c>
      <c r="I5" s="7" t="n">
        <f aca="false">-Assumptions!$H$11</f>
        <v>-31500</v>
      </c>
      <c r="J5" s="7" t="n">
        <f aca="false">-Assumptions!$H$11</f>
        <v>-31500</v>
      </c>
      <c r="K5" s="7" t="n">
        <f aca="false">-Assumptions!$H$11</f>
        <v>-31500</v>
      </c>
    </row>
    <row r="6" customFormat="false" ht="15" hidden="false" customHeight="true" outlineLevel="0" collapsed="false">
      <c r="A6" s="9" t="s">
        <v>142</v>
      </c>
      <c r="B6" s="14" t="n">
        <f aca="false">MAX(0,B4+B5)</f>
        <v>108948</v>
      </c>
      <c r="C6" s="14" t="n">
        <f aca="false">MAX(0,C4+C5)</f>
        <v>113714.4</v>
      </c>
      <c r="D6" s="14" t="n">
        <f aca="false">MAX(0,D4+D5)</f>
        <v>118651.44</v>
      </c>
      <c r="E6" s="14" t="n">
        <f aca="false">MAX(0,E4+E5)</f>
        <v>123765.6216</v>
      </c>
      <c r="F6" s="14" t="n">
        <f aca="false">MAX(0,F4+F5)</f>
        <v>129063.710568</v>
      </c>
      <c r="G6" s="14" t="n">
        <f aca="false">MAX(0,G4+G5)</f>
        <v>134552.74822104</v>
      </c>
      <c r="H6" s="14" t="n">
        <f aca="false">MAX(0,H4+H5)</f>
        <v>140240.063320471</v>
      </c>
      <c r="I6" s="14" t="n">
        <f aca="false">MAX(0,I4+I5)</f>
        <v>146133.284505525</v>
      </c>
      <c r="J6" s="14" t="n">
        <f aca="false">MAX(0,J4+J5)</f>
        <v>143840.353290403</v>
      </c>
      <c r="K6" s="14" t="n">
        <f aca="false">MAX(0,K4+K5)</f>
        <v>149959.537651313</v>
      </c>
    </row>
    <row r="8" customFormat="false" ht="15" hidden="false" customHeight="true" outlineLevel="0" collapsed="false">
      <c r="A8" s="1" t="s">
        <v>143</v>
      </c>
      <c r="B8" s="7" t="n">
        <f aca="false">10%*MIN(B6,Assumptions!$H$4)+12%*MAX(0,MIN(B6,Assumptions!$H$5)-Assumptions!$H$4)+22%*MAX(0,MIN(B6,Assumptions!$H$6)-Assumptions!$H$5)+24%*MAX(0,MIN(B6,Assumptions!$H$7)-Assumptions!$H$6)+32%*MAX(0,MIN(B6,Assumptions!$H$8)-Assumptions!$H$7)+35%*MAX(0,MIN(B6,Assumptions!$H$9)-Assumptions!$H$8)+Assumptions!$H$10*MAX(0,B6-Assumptions!$H$9)</f>
        <v>13796.56</v>
      </c>
      <c r="C8" s="7" t="n">
        <f aca="false">10%*MIN(C6,Assumptions!$H$4)+12%*MAX(0,MIN(C6,Assumptions!$H$5)-Assumptions!$H$4)+22%*MAX(0,MIN(C6,Assumptions!$H$6)-Assumptions!$H$5)+24%*MAX(0,MIN(C6,Assumptions!$H$7)-Assumptions!$H$6)+32%*MAX(0,MIN(C6,Assumptions!$H$8)-Assumptions!$H$7)+35%*MAX(0,MIN(C6,Assumptions!$H$9)-Assumptions!$H$8)+Assumptions!$H$10*MAX(0,C6-Assumptions!$H$9)</f>
        <v>14845.168</v>
      </c>
      <c r="D8" s="7" t="n">
        <f aca="false">10%*MIN(D6,Assumptions!$H$4)+12%*MAX(0,MIN(D6,Assumptions!$H$5)-Assumptions!$H$4)+22%*MAX(0,MIN(D6,Assumptions!$H$6)-Assumptions!$H$5)+24%*MAX(0,MIN(D6,Assumptions!$H$7)-Assumptions!$H$6)+32%*MAX(0,MIN(D6,Assumptions!$H$8)-Assumptions!$H$7)+35%*MAX(0,MIN(D6,Assumptions!$H$9)-Assumptions!$H$8)+Assumptions!$H$10*MAX(0,D6-Assumptions!$H$9)</f>
        <v>15931.3168</v>
      </c>
      <c r="E8" s="7" t="n">
        <f aca="false">10%*MIN(E6,Assumptions!$H$4)+12%*MAX(0,MIN(E6,Assumptions!$H$5)-Assumptions!$H$4)+22%*MAX(0,MIN(E6,Assumptions!$H$6)-Assumptions!$H$5)+24%*MAX(0,MIN(E6,Assumptions!$H$7)-Assumptions!$H$6)+32%*MAX(0,MIN(E6,Assumptions!$H$8)-Assumptions!$H$7)+35%*MAX(0,MIN(E6,Assumptions!$H$9)-Assumptions!$H$8)+Assumptions!$H$10*MAX(0,E6-Assumptions!$H$9)</f>
        <v>17056.436752</v>
      </c>
      <c r="F8" s="7" t="n">
        <f aca="false">10%*MIN(F6,Assumptions!$H$4)+12%*MAX(0,MIN(F6,Assumptions!$H$5)-Assumptions!$H$4)+22%*MAX(0,MIN(F6,Assumptions!$H$6)-Assumptions!$H$5)+24%*MAX(0,MIN(F6,Assumptions!$H$7)-Assumptions!$H$6)+32%*MAX(0,MIN(F6,Assumptions!$H$8)-Assumptions!$H$7)+35%*MAX(0,MIN(F6,Assumptions!$H$9)-Assumptions!$H$8)+Assumptions!$H$10*MAX(0,F6-Assumptions!$H$9)</f>
        <v>18222.01632496</v>
      </c>
      <c r="G8" s="7" t="n">
        <f aca="false">10%*MIN(G6,Assumptions!$H$4)+12%*MAX(0,MIN(G6,Assumptions!$H$5)-Assumptions!$H$4)+22%*MAX(0,MIN(G6,Assumptions!$H$6)-Assumptions!$H$5)+24%*MAX(0,MIN(G6,Assumptions!$H$7)-Assumptions!$H$6)+32%*MAX(0,MIN(G6,Assumptions!$H$8)-Assumptions!$H$7)+35%*MAX(0,MIN(G6,Assumptions!$H$9)-Assumptions!$H$8)+Assumptions!$H$10*MAX(0,G6-Assumptions!$H$9)</f>
        <v>19429.6046086288</v>
      </c>
      <c r="H8" s="7" t="n">
        <f aca="false">10%*MIN(H6,Assumptions!$H$4)+12%*MAX(0,MIN(H6,Assumptions!$H$5)-Assumptions!$H$4)+22%*MAX(0,MIN(H6,Assumptions!$H$6)-Assumptions!$H$5)+24%*MAX(0,MIN(H6,Assumptions!$H$7)-Assumptions!$H$6)+32%*MAX(0,MIN(H6,Assumptions!$H$8)-Assumptions!$H$7)+35%*MAX(0,MIN(H6,Assumptions!$H$9)-Assumptions!$H$8)+Assumptions!$H$10*MAX(0,H6-Assumptions!$H$9)</f>
        <v>20680.8139305037</v>
      </c>
      <c r="I8" s="7" t="n">
        <f aca="false">10%*MIN(I6,Assumptions!$H$4)+12%*MAX(0,MIN(I6,Assumptions!$H$5)-Assumptions!$H$4)+22%*MAX(0,MIN(I6,Assumptions!$H$6)-Assumptions!$H$5)+24%*MAX(0,MIN(I6,Assumptions!$H$7)-Assumptions!$H$6)+32%*MAX(0,MIN(I6,Assumptions!$H$8)-Assumptions!$H$7)+35%*MAX(0,MIN(I6,Assumptions!$H$9)-Assumptions!$H$8)+Assumptions!$H$10*MAX(0,I6-Assumptions!$H$9)</f>
        <v>21977.3225912156</v>
      </c>
      <c r="J8" s="7" t="n">
        <f aca="false">10%*MIN(J6,Assumptions!$H$4)+12%*MAX(0,MIN(J6,Assumptions!$H$5)-Assumptions!$H$4)+22%*MAX(0,MIN(J6,Assumptions!$H$6)-Assumptions!$H$5)+24%*MAX(0,MIN(J6,Assumptions!$H$7)-Assumptions!$H$6)+32%*MAX(0,MIN(J6,Assumptions!$H$8)-Assumptions!$H$7)+35%*MAX(0,MIN(J6,Assumptions!$H$9)-Assumptions!$H$8)+Assumptions!$H$10*MAX(0,J6-Assumptions!$H$9)</f>
        <v>21472.8777238887</v>
      </c>
      <c r="K8" s="7" t="n">
        <f aca="false">10%*MIN(K6,Assumptions!$H$4)+12%*MAX(0,MIN(K6,Assumptions!$H$5)-Assumptions!$H$4)+22%*MAX(0,MIN(K6,Assumptions!$H$6)-Assumptions!$H$5)+24%*MAX(0,MIN(K6,Assumptions!$H$7)-Assumptions!$H$6)+32%*MAX(0,MIN(K6,Assumptions!$H$8)-Assumptions!$H$7)+35%*MAX(0,MIN(K6,Assumptions!$H$9)-Assumptions!$H$8)+Assumptions!$H$10*MAX(0,K6-Assumptions!$H$9)</f>
        <v>22819.0982832888</v>
      </c>
    </row>
    <row r="9" customFormat="false" ht="15" hidden="false" customHeight="true" outlineLevel="0" collapsed="false">
      <c r="A9" s="1" t="s">
        <v>144</v>
      </c>
      <c r="B9" s="15" t="n">
        <f aca="false">IFERROR(B8/B6,0)</f>
        <v>0.126634357675221</v>
      </c>
      <c r="C9" s="15" t="n">
        <f aca="false">IFERROR(C8/C6,0)</f>
        <v>0.130547828595147</v>
      </c>
      <c r="D9" s="15" t="n">
        <f aca="false">IFERROR(D8/D6,0)</f>
        <v>0.134269898452138</v>
      </c>
      <c r="E9" s="15" t="n">
        <f aca="false">IFERROR(E8/E6,0)</f>
        <v>0.137812395166769</v>
      </c>
      <c r="F9" s="15" t="n">
        <f aca="false">IFERROR(F8/F6,0)</f>
        <v>0.141186211404943</v>
      </c>
      <c r="G9" s="15" t="n">
        <f aca="false">IFERROR(G8/G6,0)</f>
        <v>0.144401395478822</v>
      </c>
      <c r="H9" s="15" t="n">
        <f aca="false">IFERROR(H8/H6,0)</f>
        <v>0.147467231836916</v>
      </c>
      <c r="I9" s="15" t="n">
        <f aca="false">IFERROR(I8/I6,0)</f>
        <v>0.150392312508275</v>
      </c>
      <c r="J9" s="15" t="n">
        <f aca="false">IFERROR(J8/J6,0)</f>
        <v>0.149282709842463</v>
      </c>
      <c r="K9" s="15" t="n">
        <f aca="false">IFERROR(K8/K6,0)</f>
        <v>0.152168369152671</v>
      </c>
    </row>
    <row r="11" customFormat="false" ht="15" hidden="false" customHeight="true" outlineLevel="0" collapsed="false">
      <c r="A11" s="1" t="s">
        <v>145</v>
      </c>
      <c r="B11" s="7" t="n">
        <f aca="false">MIN(B6,Assumptions!$H$18)*4%+MAX(0,B6-Assumptions!$H$18)*9.3%</f>
        <v>4357.92</v>
      </c>
      <c r="C11" s="7" t="n">
        <f aca="false">MIN(C6,Assumptions!$H$18)*4%+MAX(0,C6-Assumptions!$H$18)*9.3%</f>
        <v>4653.6432</v>
      </c>
      <c r="D11" s="7" t="n">
        <f aca="false">MIN(D6,Assumptions!$H$18)*4%+MAX(0,D6-Assumptions!$H$18)*9.3%</f>
        <v>5112.78792</v>
      </c>
      <c r="E11" s="7" t="n">
        <f aca="false">MIN(E6,Assumptions!$H$18)*4%+MAX(0,E6-Assumptions!$H$18)*9.3%</f>
        <v>5588.4068088</v>
      </c>
      <c r="F11" s="7" t="n">
        <f aca="false">MIN(F6,Assumptions!$H$18)*4%+MAX(0,F6-Assumptions!$H$18)*9.3%</f>
        <v>6081.129082824</v>
      </c>
      <c r="G11" s="7" t="n">
        <f aca="false">MIN(G6,Assumptions!$H$18)*4%+MAX(0,G6-Assumptions!$H$18)*9.3%</f>
        <v>6591.60958455672</v>
      </c>
      <c r="H11" s="7" t="n">
        <f aca="false">MIN(H6,Assumptions!$H$18)*4%+MAX(0,H6-Assumptions!$H$18)*9.3%</f>
        <v>7120.52988880383</v>
      </c>
      <c r="I11" s="7" t="n">
        <f aca="false">MIN(I6,Assumptions!$H$18)*4%+MAX(0,I6-Assumptions!$H$18)*9.3%</f>
        <v>7668.59945901386</v>
      </c>
      <c r="J11" s="7" t="n">
        <f aca="false">MIN(J6,Assumptions!$H$18)*4%+MAX(0,J6-Assumptions!$H$18)*9.3%</f>
        <v>7455.35685600749</v>
      </c>
      <c r="K11" s="7" t="n">
        <f aca="false">MIN(K6,Assumptions!$H$18)*4%+MAX(0,K6-Assumptions!$H$18)*9.3%</f>
        <v>8024.44100157209</v>
      </c>
    </row>
    <row r="13" customFormat="false" ht="15" hidden="false" customHeight="true" outlineLevel="0" collapsed="false">
      <c r="A13" s="1" t="s">
        <v>146</v>
      </c>
      <c r="B13" s="7" t="n">
        <f aca="false">'Phase Plan'!B6*Assumptions!$H$23</f>
        <v>1368</v>
      </c>
      <c r="C13" s="7" t="n">
        <f aca="false">'Phase Plan'!C6*Assumptions!$H$23</f>
        <v>1409.04</v>
      </c>
      <c r="D13" s="7" t="n">
        <f aca="false">'Phase Plan'!D6*Assumptions!$H$23</f>
        <v>1451.3112</v>
      </c>
      <c r="E13" s="7" t="n">
        <f aca="false">'Phase Plan'!E6*Assumptions!$H$23</f>
        <v>1494.850536</v>
      </c>
      <c r="F13" s="7" t="n">
        <f aca="false">'Phase Plan'!F6*Assumptions!$H$23</f>
        <v>1539.69605208</v>
      </c>
      <c r="G13" s="7" t="n">
        <f aca="false">'Phase Plan'!G6*Assumptions!$H$23</f>
        <v>1585.8869336424</v>
      </c>
      <c r="H13" s="7" t="n">
        <f aca="false">'Phase Plan'!H6*Assumptions!$H$23</f>
        <v>1633.46354165167</v>
      </c>
      <c r="I13" s="7" t="n">
        <f aca="false">'Phase Plan'!I6*Assumptions!$H$23</f>
        <v>1682.46744790122</v>
      </c>
      <c r="J13" s="7" t="n">
        <f aca="false">'Phase Plan'!J6*Assumptions!$H$23</f>
        <v>1732.94147133826</v>
      </c>
      <c r="K13" s="7" t="n">
        <f aca="false">'Phase Plan'!K6*Assumptions!$H$23</f>
        <v>1784.92971547841</v>
      </c>
    </row>
    <row r="15" customFormat="false" ht="15" hidden="false" customHeight="true" outlineLevel="0" collapsed="false">
      <c r="A15" s="9" t="s">
        <v>147</v>
      </c>
      <c r="B15" s="14" t="n">
        <f aca="false">B8+B11+B13</f>
        <v>19522.48</v>
      </c>
      <c r="C15" s="14" t="n">
        <f aca="false">C8+C11+C13</f>
        <v>20907.8512</v>
      </c>
      <c r="D15" s="14" t="n">
        <f aca="false">D8+D11+D13</f>
        <v>22495.41592</v>
      </c>
      <c r="E15" s="14" t="n">
        <f aca="false">E8+E11+E13</f>
        <v>24139.6940968</v>
      </c>
      <c r="F15" s="14" t="n">
        <f aca="false">F8+F11+F13</f>
        <v>25842.841459864</v>
      </c>
      <c r="G15" s="14" t="n">
        <f aca="false">G8+G11+G13</f>
        <v>27607.1011268279</v>
      </c>
      <c r="H15" s="14" t="n">
        <f aca="false">H8+H11+H13</f>
        <v>29434.8073609592</v>
      </c>
      <c r="I15" s="14" t="n">
        <f aca="false">I8+I11+I13</f>
        <v>31328.3894981307</v>
      </c>
      <c r="J15" s="14" t="n">
        <f aca="false">J8+J11+J13</f>
        <v>30661.1760512344</v>
      </c>
      <c r="K15" s="14" t="n">
        <f aca="false">K8+K11+K13</f>
        <v>32628.4690003393</v>
      </c>
    </row>
    <row r="16" customFormat="false" ht="15" hidden="false" customHeight="true" outlineLevel="0" collapsed="false">
      <c r="A16" s="1" t="s">
        <v>148</v>
      </c>
      <c r="B16" s="15" t="n">
        <f aca="false">IFERROR(B15/B4,0)</f>
        <v>0.139001480975165</v>
      </c>
      <c r="C16" s="15" t="n">
        <f aca="false">IFERROR(C15/C4,0)</f>
        <v>0.143979186637138</v>
      </c>
      <c r="D16" s="15" t="n">
        <f aca="false">IFERROR(D15/D4,0)</f>
        <v>0.149818183029081</v>
      </c>
      <c r="E16" s="15" t="n">
        <f aca="false">IFERROR(E15/E4,0)</f>
        <v>0.15547352883428</v>
      </c>
      <c r="F16" s="15" t="n">
        <f aca="false">IFERROR(F15/F4,0)</f>
        <v>0.160950699061725</v>
      </c>
      <c r="G16" s="15" t="n">
        <f aca="false">IFERROR(G15/G4,0)</f>
        <v>0.166255008860672</v>
      </c>
      <c r="H16" s="15" t="n">
        <f aca="false">IFERROR(H15/H4,0)</f>
        <v>0.171391618192391</v>
      </c>
      <c r="I16" s="15" t="n">
        <f aca="false">IFERROR(I15/I4,0)</f>
        <v>0.176365536365209</v>
      </c>
      <c r="J16" s="15" t="n">
        <f aca="false">IFERROR(J15/J4,0)</f>
        <v>0.174866626397476</v>
      </c>
      <c r="K16" s="15" t="n">
        <f aca="false">IFERROR(K15/K4,0)</f>
        <v>0.179811264939059</v>
      </c>
    </row>
    <row r="18" customFormat="false" ht="15" hidden="false" customHeight="true" outlineLevel="0" collapsed="false">
      <c r="A18" s="9" t="s">
        <v>149</v>
      </c>
      <c r="B18" s="14" t="n">
        <f aca="false">B4-B15</f>
        <v>120925.52</v>
      </c>
      <c r="C18" s="14" t="n">
        <f aca="false">C4-C15</f>
        <v>124306.5488</v>
      </c>
      <c r="D18" s="14" t="n">
        <f aca="false">D4-D15</f>
        <v>127656.02408</v>
      </c>
      <c r="E18" s="14" t="n">
        <f aca="false">E4-E15</f>
        <v>131125.9275032</v>
      </c>
      <c r="F18" s="14" t="n">
        <f aca="false">F4-F15</f>
        <v>134720.869108136</v>
      </c>
      <c r="G18" s="14" t="n">
        <f aca="false">G4-G15</f>
        <v>138445.647094212</v>
      </c>
      <c r="H18" s="14" t="n">
        <f aca="false">H4-H15</f>
        <v>142305.255959512</v>
      </c>
      <c r="I18" s="14" t="n">
        <f aca="false">I4-I15</f>
        <v>146304.895007395</v>
      </c>
      <c r="J18" s="14" t="n">
        <f aca="false">J4-J15</f>
        <v>144679.177239169</v>
      </c>
      <c r="K18" s="14" t="n">
        <f aca="false">K4-K15</f>
        <v>148831.068650974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7" min="2" style="1" width="18"/>
    <col collapsed="false" customWidth="true" hidden="false" outlineLevel="0" max="8" min="8" style="1" width="45"/>
  </cols>
  <sheetData>
    <row r="1" customFormat="false" ht="15.75" hidden="false" customHeight="true" outlineLevel="0" collapsed="false">
      <c r="A1" s="10" t="s">
        <v>150</v>
      </c>
      <c r="B1" s="10"/>
      <c r="C1" s="10"/>
      <c r="D1" s="10"/>
      <c r="E1" s="10"/>
      <c r="F1" s="10"/>
      <c r="G1" s="10"/>
      <c r="H1" s="10"/>
    </row>
    <row r="2" customFormat="false" ht="15" hidden="false" customHeight="true" outlineLevel="0" collapsed="false">
      <c r="A2" s="9" t="s">
        <v>139</v>
      </c>
      <c r="B2" s="16" t="s">
        <v>151</v>
      </c>
      <c r="C2" s="16" t="s">
        <v>152</v>
      </c>
      <c r="D2" s="9" t="s">
        <v>153</v>
      </c>
      <c r="E2" s="16" t="s">
        <v>154</v>
      </c>
      <c r="F2" s="16" t="s">
        <v>155</v>
      </c>
      <c r="G2" s="9" t="s">
        <v>156</v>
      </c>
      <c r="H2" s="9" t="s">
        <v>157</v>
      </c>
    </row>
    <row r="3" customFormat="false" ht="15" hidden="false" customHeight="true" outlineLevel="0" collapsed="false">
      <c r="A3" s="1" t="n">
        <v>2027</v>
      </c>
      <c r="B3" s="7" t="n">
        <f aca="false">Assumptions!$E$18+Assumptions!$E$19</f>
        <v>1800000</v>
      </c>
      <c r="C3" s="7" t="n">
        <v>0</v>
      </c>
      <c r="D3" s="7" t="n">
        <f aca="false">Assumptions!$E$25</f>
        <v>100000</v>
      </c>
      <c r="E3" s="7" t="n">
        <f aca="false">D3*0.3</f>
        <v>30000</v>
      </c>
      <c r="F3" s="7" t="n">
        <f aca="false">'Phase Plan'!B19</f>
        <v>104448</v>
      </c>
      <c r="G3" s="7" t="n">
        <f aca="false">B3-D3-F3</f>
        <v>1595552</v>
      </c>
      <c r="H3" s="1" t="s">
        <v>158</v>
      </c>
    </row>
    <row r="4" customFormat="false" ht="15" hidden="false" customHeight="true" outlineLevel="0" collapsed="false">
      <c r="A4" s="1" t="n">
        <v>2028</v>
      </c>
      <c r="B4" s="7" t="n">
        <f aca="false">G3</f>
        <v>1595552</v>
      </c>
      <c r="C4" s="7" t="n">
        <f aca="false">C3+D3</f>
        <v>100000</v>
      </c>
      <c r="D4" s="7" t="n">
        <f aca="false">Assumptions!$E$25</f>
        <v>100000</v>
      </c>
      <c r="E4" s="7" t="n">
        <f aca="false">D4*0.3</f>
        <v>30000</v>
      </c>
      <c r="F4" s="7" t="n">
        <f aca="false">'Phase Plan'!C19</f>
        <v>108134.4</v>
      </c>
      <c r="G4" s="7" t="n">
        <f aca="false">B4-D4-F4</f>
        <v>1387417.6</v>
      </c>
      <c r="H4" s="1" t="s">
        <v>158</v>
      </c>
    </row>
    <row r="5" customFormat="false" ht="15" hidden="false" customHeight="true" outlineLevel="0" collapsed="false">
      <c r="A5" s="1" t="n">
        <v>2029</v>
      </c>
      <c r="B5" s="7" t="n">
        <f aca="false">G4</f>
        <v>1387417.6</v>
      </c>
      <c r="C5" s="7" t="n">
        <f aca="false">C4+D4</f>
        <v>200000</v>
      </c>
      <c r="D5" s="7" t="n">
        <f aca="false">Assumptions!$E$25</f>
        <v>100000</v>
      </c>
      <c r="E5" s="7" t="n">
        <f aca="false">D5*0.3</f>
        <v>30000</v>
      </c>
      <c r="F5" s="7" t="n">
        <f aca="false">'Phase Plan'!D19</f>
        <v>111959.04</v>
      </c>
      <c r="G5" s="7" t="n">
        <f aca="false">B5-D5-F5</f>
        <v>1175458.56</v>
      </c>
      <c r="H5" s="1" t="s">
        <v>158</v>
      </c>
    </row>
    <row r="6" customFormat="false" ht="15" hidden="false" customHeight="true" outlineLevel="0" collapsed="false">
      <c r="A6" s="1" t="n">
        <v>2030</v>
      </c>
      <c r="B6" s="7" t="n">
        <f aca="false">G5</f>
        <v>1175458.56</v>
      </c>
      <c r="C6" s="7" t="n">
        <f aca="false">C5+D5</f>
        <v>300000</v>
      </c>
      <c r="D6" s="7" t="n">
        <f aca="false">Assumptions!$E$25</f>
        <v>100000</v>
      </c>
      <c r="E6" s="7" t="n">
        <f aca="false">D6*0.3</f>
        <v>30000</v>
      </c>
      <c r="F6" s="7" t="n">
        <f aca="false">'Phase Plan'!E19</f>
        <v>115927.4496</v>
      </c>
      <c r="G6" s="7" t="n">
        <f aca="false">B6-D6-F6</f>
        <v>959531.1104</v>
      </c>
      <c r="H6" s="1" t="s">
        <v>158</v>
      </c>
    </row>
    <row r="7" customFormat="false" ht="15" hidden="false" customHeight="true" outlineLevel="0" collapsed="false">
      <c r="A7" s="1" t="n">
        <v>2031</v>
      </c>
      <c r="B7" s="7" t="n">
        <f aca="false">G6</f>
        <v>959531.1104</v>
      </c>
      <c r="C7" s="7" t="n">
        <f aca="false">C6+D6</f>
        <v>400000</v>
      </c>
      <c r="D7" s="7" t="n">
        <f aca="false">Assumptions!$E$25</f>
        <v>100000</v>
      </c>
      <c r="E7" s="7" t="n">
        <f aca="false">D7*0.3</f>
        <v>30000</v>
      </c>
      <c r="F7" s="7" t="n">
        <f aca="false">'Phase Plan'!F19</f>
        <v>120045.393408</v>
      </c>
      <c r="G7" s="7" t="n">
        <f aca="false">B7-D7-F7</f>
        <v>739485.716992</v>
      </c>
      <c r="H7" s="1" t="s">
        <v>158</v>
      </c>
    </row>
    <row r="8" customFormat="false" ht="15" hidden="false" customHeight="true" outlineLevel="0" collapsed="false">
      <c r="A8" s="1" t="n">
        <v>2032</v>
      </c>
      <c r="B8" s="7" t="n">
        <f aca="false">G7</f>
        <v>739485.716992</v>
      </c>
      <c r="C8" s="7" t="n">
        <f aca="false">C7+D7</f>
        <v>500000</v>
      </c>
      <c r="D8" s="7" t="n">
        <f aca="false">Assumptions!$E$25</f>
        <v>100000</v>
      </c>
      <c r="E8" s="7" t="n">
        <f aca="false">D8*0.3</f>
        <v>30000</v>
      </c>
      <c r="F8" s="7" t="n">
        <f aca="false">'Phase Plan'!G19</f>
        <v>124318.88154624</v>
      </c>
      <c r="G8" s="7" t="n">
        <f aca="false">B8-D8-F8</f>
        <v>515166.83544576</v>
      </c>
      <c r="H8" s="1" t="s">
        <v>158</v>
      </c>
    </row>
    <row r="9" customFormat="false" ht="15" hidden="false" customHeight="true" outlineLevel="0" collapsed="false">
      <c r="A9" s="1" t="n">
        <v>2033</v>
      </c>
      <c r="B9" s="7" t="n">
        <f aca="false">G8</f>
        <v>515166.83544576</v>
      </c>
      <c r="C9" s="7" t="n">
        <f aca="false">C8+D8</f>
        <v>600000</v>
      </c>
      <c r="D9" s="7" t="n">
        <f aca="false">Assumptions!$E$25</f>
        <v>100000</v>
      </c>
      <c r="E9" s="7" t="n">
        <f aca="false">D9*0.3</f>
        <v>30000</v>
      </c>
      <c r="F9" s="7" t="n">
        <f aca="false">'Phase Plan'!H19</f>
        <v>128754.180645427</v>
      </c>
      <c r="G9" s="7" t="n">
        <f aca="false">B9-D9-F9</f>
        <v>286412.654800333</v>
      </c>
      <c r="H9" s="1" t="s">
        <v>158</v>
      </c>
    </row>
    <row r="10" customFormat="false" ht="15" hidden="false" customHeight="true" outlineLevel="0" collapsed="false">
      <c r="A10" s="1" t="n">
        <v>2034</v>
      </c>
      <c r="B10" s="7" t="n">
        <f aca="false">G9</f>
        <v>286412.654800333</v>
      </c>
      <c r="C10" s="7" t="n">
        <f aca="false">C9+D9</f>
        <v>700000</v>
      </c>
      <c r="D10" s="7" t="n">
        <f aca="false">Assumptions!$E$25</f>
        <v>100000</v>
      </c>
      <c r="E10" s="7" t="n">
        <f aca="false">D10*0.3</f>
        <v>30000</v>
      </c>
      <c r="F10" s="7" t="n">
        <f aca="false">'Phase Plan'!I19</f>
        <v>133357.82535023</v>
      </c>
      <c r="G10" s="7" t="n">
        <f aca="false">B10-D10-F10</f>
        <v>53054.8294501027</v>
      </c>
      <c r="H10" s="1" t="s">
        <v>158</v>
      </c>
    </row>
    <row r="11" customFormat="false" ht="15" hidden="false" customHeight="true" outlineLevel="0" collapsed="false">
      <c r="A11" s="1" t="n">
        <v>2035</v>
      </c>
      <c r="B11" s="7" t="n">
        <f aca="false">G10</f>
        <v>53054.8294501027</v>
      </c>
      <c r="C11" s="7" t="n">
        <f aca="false">C10+D10</f>
        <v>800000</v>
      </c>
      <c r="D11" s="7" t="n">
        <f aca="false">Assumptions!$E$25</f>
        <v>100000</v>
      </c>
      <c r="E11" s="7" t="n">
        <f aca="false">D11*0.3</f>
        <v>30000</v>
      </c>
      <c r="F11" s="7" t="n">
        <f aca="false">'Phase Plan'!J19</f>
        <v>99736.630360449</v>
      </c>
      <c r="G11" s="7" t="n">
        <f aca="false">B11-D11-F11</f>
        <v>-146681.800910346</v>
      </c>
      <c r="H11" s="1" t="s">
        <v>158</v>
      </c>
    </row>
    <row r="12" customFormat="false" ht="15" hidden="false" customHeight="true" outlineLevel="0" collapsed="false">
      <c r="A12" s="1" t="n">
        <v>2036</v>
      </c>
      <c r="B12" s="7" t="n">
        <f aca="false">G11</f>
        <v>-146681.800910346</v>
      </c>
      <c r="C12" s="7" t="n">
        <f aca="false">C11+D11</f>
        <v>900000</v>
      </c>
      <c r="D12" s="7" t="n">
        <f aca="false">Assumptions!$E$25</f>
        <v>100000</v>
      </c>
      <c r="E12" s="7" t="n">
        <f aca="false">D12*0.3</f>
        <v>30000</v>
      </c>
      <c r="F12" s="7" t="n">
        <f aca="false">'Phase Plan'!K19</f>
        <v>103737.70303346</v>
      </c>
      <c r="G12" s="7" t="n">
        <f aca="false">B12-D12-F12</f>
        <v>-350419.503943806</v>
      </c>
      <c r="H12" s="1" t="s">
        <v>158</v>
      </c>
    </row>
    <row r="14" customFormat="false" ht="15" hidden="false" customHeight="true" outlineLevel="0" collapsed="false">
      <c r="A14" s="1" t="s">
        <v>159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11" min="2" style="1" width="14"/>
  </cols>
  <sheetData>
    <row r="1" customFormat="false" ht="15.75" hidden="false" customHeight="true" outlineLevel="0" collapsed="false">
      <c r="A1" s="10" t="s">
        <v>160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5" hidden="false" customHeight="true" outlineLevel="0" collapsed="false">
      <c r="A2" s="1" t="s">
        <v>161</v>
      </c>
      <c r="B2" s="1" t="n">
        <v>2027</v>
      </c>
      <c r="C2" s="1" t="n">
        <v>2028</v>
      </c>
      <c r="D2" s="1" t="n">
        <v>2029</v>
      </c>
      <c r="E2" s="1" t="n">
        <v>2030</v>
      </c>
      <c r="F2" s="1" t="n">
        <v>2031</v>
      </c>
      <c r="G2" s="1" t="n">
        <v>2032</v>
      </c>
      <c r="H2" s="1" t="n">
        <v>2033</v>
      </c>
      <c r="I2" s="1" t="n">
        <v>2034</v>
      </c>
      <c r="J2" s="1" t="n">
        <v>2035</v>
      </c>
      <c r="K2" s="1" t="n">
        <v>2036</v>
      </c>
    </row>
    <row r="4" customFormat="false" ht="15" hidden="false" customHeight="true" outlineLevel="0" collapsed="false">
      <c r="A4" s="1" t="s">
        <v>162</v>
      </c>
      <c r="B4" s="7" t="n">
        <f aca="false">MAX(0,'Roth Conversion'!B3*(Assumptions!$E$18/(Assumptions!$E$18+Assumptions!$E$19)))</f>
        <v>1000000</v>
      </c>
      <c r="C4" s="7" t="n">
        <f aca="false">MAX(0,'Roth Conversion'!B4*(Assumptions!$E$18/(Assumptions!$E$18+Assumptions!$E$19)))</f>
        <v>886417.777777778</v>
      </c>
      <c r="D4" s="7" t="n">
        <f aca="false">MAX(0,'Roth Conversion'!B5*(Assumptions!$E$18/(Assumptions!$E$18+Assumptions!$E$19)))</f>
        <v>770787.555555556</v>
      </c>
      <c r="E4" s="7" t="n">
        <f aca="false">MAX(0,'Roth Conversion'!B6*(Assumptions!$E$18/(Assumptions!$E$18+Assumptions!$E$19)))</f>
        <v>653032.533333333</v>
      </c>
      <c r="F4" s="7" t="n">
        <f aca="false">MAX(0,'Roth Conversion'!B7*(Assumptions!$E$18/(Assumptions!$E$18+Assumptions!$E$19)))</f>
        <v>533072.839111111</v>
      </c>
      <c r="G4" s="7" t="n">
        <f aca="false">MAX(0,'Roth Conversion'!B8*(Assumptions!$E$18/(Assumptions!$E$18+Assumptions!$E$19)))</f>
        <v>410825.398328889</v>
      </c>
      <c r="H4" s="7" t="n">
        <f aca="false">MAX(0,'Roth Conversion'!B9*(Assumptions!$E$18/(Assumptions!$E$18+Assumptions!$E$19)))</f>
        <v>286203.797469867</v>
      </c>
      <c r="I4" s="7" t="n">
        <f aca="false">MAX(0,'Roth Conversion'!B10*(Assumptions!$E$18/(Assumptions!$E$18+Assumptions!$E$19)))</f>
        <v>159118.14155574</v>
      </c>
      <c r="J4" s="7" t="n">
        <f aca="false">MAX(0,'Roth Conversion'!B11*(Assumptions!$E$18/(Assumptions!$E$18+Assumptions!$E$19)))</f>
        <v>29474.9052500571</v>
      </c>
      <c r="K4" s="7" t="n">
        <f aca="false">MAX(0,'Roth Conversion'!B12*(Assumptions!$E$18/(Assumptions!$E$18+Assumptions!$E$19)))</f>
        <v>0</v>
      </c>
    </row>
    <row r="5" customFormat="false" ht="15" hidden="false" customHeight="true" outlineLevel="0" collapsed="false">
      <c r="A5" s="1" t="s">
        <v>163</v>
      </c>
      <c r="B5" s="7" t="n">
        <f aca="false">MAX(0,'Roth Conversion'!B3*(Assumptions!$E$19/(Assumptions!$E$18+Assumptions!$E$19)))</f>
        <v>800000</v>
      </c>
      <c r="C5" s="7" t="n">
        <f aca="false">MAX(0,'Roth Conversion'!B4*(Assumptions!$E$19/(Assumptions!$E$18+Assumptions!$E$19)))</f>
        <v>709134.222222222</v>
      </c>
      <c r="D5" s="7" t="n">
        <f aca="false">MAX(0,'Roth Conversion'!B5*(Assumptions!$E$19/(Assumptions!$E$18+Assumptions!$E$19)))</f>
        <v>616630.044444445</v>
      </c>
      <c r="E5" s="7" t="n">
        <f aca="false">MAX(0,'Roth Conversion'!B6*(Assumptions!$E$19/(Assumptions!$E$18+Assumptions!$E$19)))</f>
        <v>522426.026666667</v>
      </c>
      <c r="F5" s="7" t="n">
        <f aca="false">MAX(0,'Roth Conversion'!B7*(Assumptions!$E$19/(Assumptions!$E$18+Assumptions!$E$19)))</f>
        <v>426458.271288889</v>
      </c>
      <c r="G5" s="7" t="n">
        <f aca="false">MAX(0,'Roth Conversion'!B8*(Assumptions!$E$19/(Assumptions!$E$18+Assumptions!$E$19)))</f>
        <v>328660.318663111</v>
      </c>
      <c r="H5" s="7" t="n">
        <f aca="false">MAX(0,'Roth Conversion'!B9*(Assumptions!$E$19/(Assumptions!$E$18+Assumptions!$E$19)))</f>
        <v>228963.037975893</v>
      </c>
      <c r="I5" s="7" t="n">
        <f aca="false">MAX(0,'Roth Conversion'!B10*(Assumptions!$E$19/(Assumptions!$E$18+Assumptions!$E$19)))</f>
        <v>127294.513244592</v>
      </c>
      <c r="J5" s="7" t="n">
        <f aca="false">MAX(0,'Roth Conversion'!B11*(Assumptions!$E$19/(Assumptions!$E$18+Assumptions!$E$19)))</f>
        <v>23579.9242000456</v>
      </c>
      <c r="K5" s="7" t="n">
        <f aca="false">MAX(0,'Roth Conversion'!B12*(Assumptions!$E$19/(Assumptions!$E$18+Assumptions!$E$19)))</f>
        <v>0</v>
      </c>
    </row>
    <row r="6" customFormat="false" ht="15" hidden="false" customHeight="true" outlineLevel="0" collapsed="false">
      <c r="A6" s="1" t="s">
        <v>164</v>
      </c>
      <c r="B6" s="7" t="n">
        <f aca="false">'Roth Conversion'!C3</f>
        <v>0</v>
      </c>
      <c r="C6" s="7" t="n">
        <f aca="false">'Roth Conversion'!C4</f>
        <v>100000</v>
      </c>
      <c r="D6" s="7" t="n">
        <f aca="false">'Roth Conversion'!C5</f>
        <v>200000</v>
      </c>
      <c r="E6" s="7" t="n">
        <f aca="false">'Roth Conversion'!C6</f>
        <v>300000</v>
      </c>
      <c r="F6" s="7" t="n">
        <f aca="false">'Roth Conversion'!C7</f>
        <v>400000</v>
      </c>
      <c r="G6" s="7" t="n">
        <f aca="false">'Roth Conversion'!C8</f>
        <v>500000</v>
      </c>
      <c r="H6" s="7" t="n">
        <f aca="false">'Roth Conversion'!C9</f>
        <v>600000</v>
      </c>
      <c r="I6" s="7" t="n">
        <f aca="false">'Roth Conversion'!C10</f>
        <v>700000</v>
      </c>
      <c r="J6" s="7" t="n">
        <f aca="false">'Roth Conversion'!C11</f>
        <v>800000</v>
      </c>
      <c r="K6" s="7" t="n">
        <f aca="false">'Roth Conversion'!C12</f>
        <v>900000</v>
      </c>
    </row>
    <row r="7" customFormat="false" ht="15" hidden="false" customHeight="true" outlineLevel="0" collapsed="false">
      <c r="A7" s="1" t="s">
        <v>165</v>
      </c>
      <c r="B7" s="7" t="n">
        <f aca="false">Assumptions!$E$20*(1+Assumptions!$E$24)^0</f>
        <v>20000</v>
      </c>
      <c r="C7" s="7" t="n">
        <f aca="false">Assumptions!$E$20*(1+Assumptions!$E$24)^1</f>
        <v>21200</v>
      </c>
      <c r="D7" s="7" t="n">
        <f aca="false">Assumptions!$E$20*(1+Assumptions!$E$24)^2</f>
        <v>22472</v>
      </c>
      <c r="E7" s="7" t="n">
        <f aca="false">Assumptions!$E$20*(1+Assumptions!$E$24)^3</f>
        <v>23820.32</v>
      </c>
      <c r="F7" s="7" t="n">
        <f aca="false">Assumptions!$E$20*(1+Assumptions!$E$24)^4</f>
        <v>25249.5392</v>
      </c>
      <c r="G7" s="7" t="n">
        <f aca="false">Assumptions!$E$20*(1+Assumptions!$E$24)^5</f>
        <v>26764.511552</v>
      </c>
      <c r="H7" s="7" t="n">
        <f aca="false">Assumptions!$E$20*(1+Assumptions!$E$24)^6</f>
        <v>28370.38224512</v>
      </c>
      <c r="I7" s="7" t="n">
        <f aca="false">Assumptions!$E$20*(1+Assumptions!$E$24)^7</f>
        <v>30072.6051798272</v>
      </c>
      <c r="J7" s="7" t="n">
        <f aca="false">Assumptions!$E$20*(1+Assumptions!$E$24)^8</f>
        <v>31876.9614906168</v>
      </c>
      <c r="K7" s="7" t="n">
        <f aca="false">Assumptions!$E$20*(1+Assumptions!$E$24)^9</f>
        <v>33789.5791800539</v>
      </c>
    </row>
    <row r="8" customFormat="false" ht="15" hidden="false" customHeight="true" outlineLevel="0" collapsed="false">
      <c r="A8" s="1" t="s">
        <v>166</v>
      </c>
      <c r="B8" s="7" t="n">
        <f aca="false">Assumptions!$E$21*(1+Assumptions!$E$23)^0</f>
        <v>150000</v>
      </c>
      <c r="C8" s="7" t="n">
        <f aca="false">Assumptions!$E$21*(1+Assumptions!$E$23)^1</f>
        <v>156000</v>
      </c>
      <c r="D8" s="7" t="n">
        <f aca="false">Assumptions!$E$21*(1+Assumptions!$E$23)^2</f>
        <v>162240</v>
      </c>
      <c r="E8" s="7" t="n">
        <f aca="false">Assumptions!$E$21*(1+Assumptions!$E$23)^3</f>
        <v>168729.6</v>
      </c>
      <c r="F8" s="7" t="n">
        <f aca="false">Assumptions!$E$21*(1+Assumptions!$E$23)^4</f>
        <v>175478.784</v>
      </c>
      <c r="G8" s="7" t="n">
        <f aca="false">Assumptions!$E$21*(1+Assumptions!$E$23)^5</f>
        <v>182497.93536</v>
      </c>
      <c r="H8" s="7" t="n">
        <f aca="false">Assumptions!$E$21*(1+Assumptions!$E$23)^6</f>
        <v>189797.8527744</v>
      </c>
      <c r="I8" s="7" t="n">
        <f aca="false">Assumptions!$E$21*(1+Assumptions!$E$23)^7</f>
        <v>197389.766885376</v>
      </c>
      <c r="J8" s="7" t="n">
        <f aca="false">Assumptions!$E$21*(1+Assumptions!$E$23)^8</f>
        <v>205285.357560791</v>
      </c>
      <c r="K8" s="7" t="n">
        <f aca="false">Assumptions!$E$21*(1+Assumptions!$E$23)^9</f>
        <v>213496.771863223</v>
      </c>
    </row>
    <row r="9" customFormat="false" ht="15" hidden="false" customHeight="true" outlineLevel="0" collapsed="false">
      <c r="A9" s="1" t="s">
        <v>167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1" customFormat="false" ht="15" hidden="false" customHeight="true" outlineLevel="0" collapsed="false">
      <c r="A11" s="9" t="s">
        <v>168</v>
      </c>
      <c r="B11" s="14" t="n">
        <f aca="false">SUM(B4:B9)</f>
        <v>1970000</v>
      </c>
      <c r="C11" s="14" t="n">
        <f aca="false">SUM(C4:C9)</f>
        <v>1872752</v>
      </c>
      <c r="D11" s="14" t="n">
        <f aca="false">SUM(D4:D9)</f>
        <v>1772129.6</v>
      </c>
      <c r="E11" s="14" t="n">
        <f aca="false">SUM(E4:E9)</f>
        <v>1668008.48</v>
      </c>
      <c r="F11" s="14" t="n">
        <f aca="false">SUM(F4:F9)</f>
        <v>1560259.4336</v>
      </c>
      <c r="G11" s="14" t="n">
        <f aca="false">SUM(G4:G9)</f>
        <v>1448748.163904</v>
      </c>
      <c r="H11" s="14" t="n">
        <f aca="false">SUM(H4:H9)</f>
        <v>1333335.07046528</v>
      </c>
      <c r="I11" s="14" t="n">
        <f aca="false">SUM(I4:I9)</f>
        <v>1213875.02686554</v>
      </c>
      <c r="J11" s="14" t="n">
        <f aca="false">SUM(J4:J9)</f>
        <v>1090217.14850151</v>
      </c>
      <c r="K11" s="14" t="n">
        <f aca="false">SUM(K4:K9)</f>
        <v>1147286.35104328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2026-07-19T18:10:05Z</dcterms:created>
  <dc:creator>openpyxl</dc:creator>
  <dc:description/>
  <dc:language>en-US</dc:language>
  <cp:lastModifiedBy/>
  <dcterms:modified xsi:type="dcterms:W3CDTF">2026-07-19T18:27:55Z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